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5bd476b9c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6226c596ef24678"/>
    <x:sheet xmlns:r="http://schemas.openxmlformats.org/officeDocument/2006/relationships" name="Submissions_Raw" sheetId="2" r:id="R7a500db210d34a66"/>
    <x:sheet xmlns:r="http://schemas.openxmlformats.org/officeDocument/2006/relationships" name="Trauma_Long" sheetId="3" r:id="R43b102640f5747bf"/>
    <x:sheet xmlns:r="http://schemas.openxmlformats.org/officeDocument/2006/relationships" name="Codebook_DASS" sheetId="4" r:id="R682507f0a7654d2b"/>
    <x:sheet xmlns:r="http://schemas.openxmlformats.org/officeDocument/2006/relationships" name="Codebook_Trauma" sheetId="5" r:id="R1e4b23f19bcd4052"/>
    <x:sheet xmlns:r="http://schemas.openxmlformats.org/officeDocument/2006/relationships" name="Thresholds" sheetId="6" r:id="R5449c00efcbd4554"/>
    <x:sheet xmlns:r="http://schemas.openxmlformats.org/officeDocument/2006/relationships" name="Scoring_Check" sheetId="7" r:id="R2efbfe21d69c49db"/>
    <x:sheet xmlns:r="http://schemas.openxmlformats.org/officeDocument/2006/relationships" name="Dashboard_Summary" sheetId="8" r:id="R9d7d1f10f33f44d7"/>
    <x:sheet xmlns:r="http://schemas.openxmlformats.org/officeDocument/2006/relationships" name="Audit_Log" sheetId="9" r:id="Rf72d64ed662e48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0706C"/>
      <x:name val="Carlito"/>
    </x:font>
    <x:font>
      <x:b/>
      <x:sz val="11"/>
      <x:color rgb="FF173B36"/>
      <x:name val="Carlito"/>
    </x:font>
    <x:font>
      <x:sz val="11"/>
      <x:color rgb="FF245C7C"/>
      <x:name val="Carlito"/>
    </x:font>
    <x:font>
      <x:b/>
      <x:sz val="18"/>
      <x:color rgb="FFFFFFFF"/>
      <x:name val="Aptos"/>
    </x:font>
    <x:font>
      <x:sz val="11"/>
      <x:name val="Aptos"/>
    </x:font>
    <x:font>
      <x:i/>
      <x:sz val="11"/>
      <x:color rgb="FF60706C"/>
      <x:name val="Aptos"/>
    </x:font>
    <x:font>
      <x:b/>
      <x:sz val="11"/>
      <x:color rgb="FF173B36"/>
      <x:name val="Aptos"/>
    </x:font>
    <x:font>
      <x:sz val="11"/>
      <x:color rgb="FF245C7C"/>
      <x:name val="Aptos"/>
    </x:font>
    <x:font>
      <x:b/>
      <x:sz val="10"/>
      <x:color rgb="FFFFFFFF"/>
      <x:name val="Carlito"/>
    </x:font>
    <x:font>
      <x:sz val="11"/>
      <x:color rgb="FF173B36"/>
      <x:name val="Carlito"/>
    </x:font>
    <x:font>
      <x:b/>
      <x:sz val="20"/>
      <x:color rgb="FF173B36"/>
      <x:name val="Carlito"/>
    </x:font>
    <x:font>
      <x:b/>
      <x:sz val="10"/>
      <x:color rgb="FFFFFFFF"/>
      <x:name val="Aptos"/>
    </x:font>
    <x:font>
      <x:sz val="11"/>
      <x:color rgb="FF173B36"/>
      <x:name val="Aptos"/>
    </x:font>
    <x:font>
      <x:b/>
      <x:sz val="20"/>
      <x:color rgb="FF173B36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B36"/>
      </x:patternFill>
    </x:fill>
    <x:fill>
      <x:patternFill patternType="solid">
        <x:fgColor rgb="FFE6F3EF"/>
      </x:patternFill>
    </x:fill>
    <x:fill>
      <x:patternFill patternType="solid">
        <x:fgColor rgb="FF0F766E"/>
      </x:patternFill>
    </x:fill>
    <x:fill>
      <x:patternFill patternType="solid">
        <x:fgColor rgb="FFFFF7DD"/>
      </x:patternFill>
    </x:fill>
    <x:fill>
      <x:patternFill patternType="solid">
        <x:fgColor rgb="FFEAF3F8"/>
      </x:patternFill>
    </x:fill>
    <x:fill>
      <x:patternFill patternType="solid">
        <x:fgColor rgb="FFFDECEC"/>
      </x:patternFill>
    </x:fill>
    <x:fill>
      <x:patternFill patternType="solid">
        <x:fgColor rgb="FFF6FBF9"/>
      </x:patternFill>
    </x:fill>
  </x:fills>
  <x:borders count="15">
    <x:border/>
    <x:border>
      <x:left style="thin">
        <x:color rgb="FFD9E5E1"/>
      </x:left>
      <x:right style="thin">
        <x:color rgb="FFD9E5E1"/>
      </x:right>
      <x:top style="thin">
        <x:color rgb="FFD9E5E1"/>
      </x:top>
    </x:border>
    <x:border>
      <x:left style="thin">
        <x:color rgb="FFD9E5E1"/>
      </x:left>
      <x:right style="thin">
        <x:color rgb="FFD9E5E1"/>
      </x:right>
    </x:border>
    <x:border>
      <x:left style="thin">
        <x:color rgb="FFD9E5E1"/>
      </x:left>
      <x:right style="thin">
        <x:color rgb="FFD9E5E1"/>
      </x:right>
      <x:bottom style="thin">
        <x:color rgb="FFD9E5E1"/>
      </x:bottom>
    </x:border>
    <x:border>
      <x:left style="thin">
        <x:color rgb="FFD9E5E1"/>
      </x:left>
      <x:top style="thin">
        <x:color rgb="FFD9E5E1"/>
      </x:top>
      <x:bottom style="thin">
        <x:color rgb="FFD9E5E1"/>
      </x:bottom>
    </x:border>
    <x:border>
      <x:top style="thin">
        <x:color rgb="FFD9E5E1"/>
      </x:top>
      <x:bottom style="thin">
        <x:color rgb="FFD9E5E1"/>
      </x:bottom>
    </x:border>
    <x:border>
      <x:right style="thin">
        <x:color rgb="FFD9E5E1"/>
      </x:right>
      <x:top style="thin">
        <x:color rgb="FFD9E5E1"/>
      </x:top>
      <x:bottom style="thin">
        <x:color rgb="FFD9E5E1"/>
      </x:bottom>
    </x:border>
    <x:border>
      <x:right style="thin">
        <x:color rgb="FFD9E5E1"/>
      </x:right>
    </x:border>
    <x:border>
      <x:left style="thin">
        <x:color rgb="FFD9E5E1"/>
      </x:left>
    </x:border>
    <x:border>
      <x:bottom style="thin">
        <x:color rgb="FFD9E5E1"/>
      </x:bottom>
    </x:border>
    <x:border>
      <x:top style="thin">
        <x:color rgb="FFD9E5E1"/>
      </x:top>
    </x:border>
    <x:border>
      <x:left style="thin">
        <x:color rgb="FFD9E5E1"/>
      </x:left>
      <x:top style="thin">
        <x:color rgb="FFD9E5E1"/>
      </x:top>
    </x:border>
    <x:border>
      <x:right style="thin">
        <x:color rgb="FFD9E5E1"/>
      </x:right>
      <x:top style="thin">
        <x:color rgb="FFD9E5E1"/>
      </x:top>
    </x:border>
    <x:border>
      <x:left style="thin">
        <x:color rgb="FFD9E5E1"/>
      </x:left>
      <x:bottom style="thin">
        <x:color rgb="FFD9E5E1"/>
      </x:bottom>
    </x:border>
    <x:border>
      <x:right style="thin">
        <x:color rgb="FFD9E5E1"/>
      </x:right>
      <x:bottom style="thin">
        <x:color rgb="FFD9E5E1"/>
      </x:bottom>
    </x:border>
  </x:borders>
  <x:cellStyleXfs count="1">
    <x:xf numFmtId="0" fontId="0" fillId="0" borderId="0"/>
  </x:cellStyleXfs>
  <x:cellXfs count="1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3" borderId="1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  <x:xf numFmtId="0" fontId="8" fillId="3" borderId="2" xfId="0" applyNumberFormat="1" applyFont="1" applyFill="1" applyBorder="1"/>
    <x:xf numFmtId="0" fontId="8" fillId="3" borderId="3" xfId="0" applyNumberFormat="1" applyFont="1" applyFill="1" applyBorder="1"/>
    <x:xf numFmtId="0" fontId="8" fillId="3" borderId="4" xfId="0" applyNumberFormat="1" applyFont="1" applyFill="1" applyBorder="1"/>
    <x:xf numFmtId="0" fontId="8" fillId="3" borderId="5" xfId="0" applyNumberFormat="1" applyFont="1" applyFill="1" applyBorder="1"/>
    <x:xf numFmtId="0" fontId="8" fillId="3" borderId="6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7" xfId="0" applyNumberFormat="1" applyFont="1" applyFill="1" applyBorder="1"/>
    <x:xf numFmtId="0" fontId="10" fillId="4" borderId="2" xfId="0" applyNumberFormat="1" applyFont="1" applyFill="1" applyBorder="1"/>
    <x:xf numFmtId="0" fontId="10" fillId="4" borderId="8" xfId="0" applyNumberFormat="1" applyFont="1" applyFill="1" applyBorder="1"/>
    <x:xf numFmtId="0" fontId="10" fillId="4" borderId="7" xfId="0" applyNumberFormat="1" applyFont="1" applyFill="1" applyBorder="1" applyAlignment="1">
      <x:alignment wrapText="1"/>
    </x:xf>
    <x:xf numFmtId="0" fontId="10" fillId="4" borderId="2" xfId="0" applyNumberFormat="1" applyFont="1" applyFill="1" applyBorder="1" applyAlignment="1">
      <x:alignment wrapText="1"/>
    </x:xf>
    <x:xf numFmtId="0" fontId="10" fillId="4" borderId="8" xfId="0" applyNumberFormat="1" applyFont="1" applyFill="1" applyBorder="1" applyAlignment="1">
      <x:alignment wrapText="1"/>
    </x:xf>
    <x:xf numFmtId="0" fontId="10" fillId="4" borderId="7" xfId="0" applyNumberFormat="1" applyFont="1" applyFill="1" applyBorder="1" applyAlignment="1">
      <x:alignment horizontal="center" wrapText="1"/>
    </x:xf>
    <x:xf numFmtId="0" fontId="10" fillId="4" borderId="2" xfId="0" applyNumberFormat="1" applyFont="1" applyFill="1" applyBorder="1" applyAlignment="1">
      <x:alignment horizontal="center" wrapText="1"/>
    </x:xf>
    <x:xf numFmtId="0" fontId="10" fillId="4" borderId="8" xfId="0" applyNumberFormat="1" applyFont="1" applyFill="1" applyBorder="1" applyAlignment="1">
      <x:alignment horizontal="center" wrapText="1"/>
    </x:xf>
    <x:xf numFmtId="0" fontId="10" fillId="4" borderId="7" xfId="0" applyNumberFormat="1" applyFont="1" applyFill="1" applyBorder="1" applyAlignment="1">
      <x:alignment horizontal="center" vertical="center" wrapText="1"/>
    </x:xf>
    <x:xf numFmtId="0" fontId="10" fillId="4" borderId="2" xfId="0" applyNumberFormat="1" applyFont="1" applyFill="1" applyBorder="1" applyAlignment="1">
      <x:alignment horizontal="center" vertical="center" wrapText="1"/>
    </x:xf>
    <x:xf numFmtId="0" fontId="10" fillId="4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0" fontId="0" fillId="0" borderId="5" xfId="0" applyNumberFormat="1" applyFont="1" applyFill="1" applyBorder="1"/>
    <x:xf numFmtId="0" fontId="0" fillId="0" borderId="10" xfId="0" applyNumberFormat="1" applyFont="1" applyFill="1" applyBorder="1"/>
    <x:xf numFmtId="0" fontId="0" fillId="0" borderId="9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10" xfId="0" applyNumberFormat="1" applyFont="1" applyFill="1" applyBorder="1"/>
    <x:xf numFmtId="0" fontId="0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200" fontId="3" fillId="6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/>
    </x:xf>
    <x:xf numFmtId="0" fontId="12" fillId="3" borderId="0" xfId="0" applyNumberFormat="1" applyFont="1" applyFill="1" applyBorder="1"/>
    <x:xf numFmtId="0" fontId="12" fillId="3" borderId="11" xfId="0" applyNumberFormat="1" applyFont="1" applyFill="1" applyBorder="1"/>
    <x:xf numFmtId="0" fontId="12" fillId="3" borderId="12" xfId="0" applyNumberFormat="1" applyFont="1" applyFill="1" applyBorder="1"/>
    <x:xf numFmtId="0" fontId="12" fillId="3" borderId="13" xfId="0" applyNumberFormat="1" applyFont="1" applyFill="1" applyBorder="1"/>
    <x:xf numFmtId="0" fontId="12" fillId="3" borderId="14" xfId="0" applyNumberFormat="1" applyFont="1" applyFill="1" applyBorder="1"/>
    <x:xf numFmtId="0" fontId="12" fillId="3" borderId="11" xfId="0" applyNumberFormat="1" applyFont="1" applyFill="1" applyBorder="1" applyAlignment="1">
      <x:alignment horizontal="center"/>
    </x:xf>
    <x:xf numFmtId="0" fontId="12" fillId="3" borderId="12" xfId="0" applyNumberFormat="1" applyFont="1" applyFill="1" applyBorder="1" applyAlignment="1">
      <x:alignment horizontal="center"/>
    </x:xf>
    <x:xf numFmtId="0" fontId="12" fillId="3" borderId="13" xfId="0" applyNumberFormat="1" applyFont="1" applyFill="1" applyBorder="1" applyAlignment="1">
      <x:alignment horizontal="center"/>
    </x:xf>
    <x:xf numFmtId="0" fontId="12" fillId="3" borderId="14" xfId="0" applyNumberFormat="1" applyFont="1" applyFill="1" applyBorder="1" applyAlignment="1">
      <x:alignment horizontal="center"/>
    </x:xf>
    <x:xf numFmtId="0" fontId="12" fillId="3" borderId="11" xfId="0" applyNumberFormat="1" applyFont="1" applyFill="1" applyBorder="1" applyAlignment="1">
      <x:alignment horizontal="center" vertical="center"/>
    </x:xf>
    <x:xf numFmtId="0" fontId="12" fillId="3" borderId="12" xfId="0" applyNumberFormat="1" applyFont="1" applyFill="1" applyBorder="1" applyAlignment="1">
      <x:alignment horizontal="center" vertical="center"/>
    </x:xf>
    <x:xf numFmtId="0" fontId="12" fillId="3" borderId="13" xfId="0" applyNumberFormat="1" applyFont="1" applyFill="1" applyBorder="1" applyAlignment="1">
      <x:alignment horizontal="center" vertical="center"/>
    </x:xf>
    <x:xf numFmtId="0" fontId="12" fillId="3" borderId="14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/>
    <x:xf numFmtId="0" fontId="12" fillId="5" borderId="11" xfId="0" applyNumberFormat="1" applyFont="1" applyFill="1" applyBorder="1"/>
    <x:xf numFmtId="0" fontId="12" fillId="5" borderId="12" xfId="0" applyNumberFormat="1" applyFont="1" applyFill="1" applyBorder="1"/>
    <x:xf numFmtId="0" fontId="12" fillId="5" borderId="13" xfId="0" applyNumberFormat="1" applyFont="1" applyFill="1" applyBorder="1"/>
    <x:xf numFmtId="0" fontId="12" fillId="5" borderId="14" xfId="0" applyNumberFormat="1" applyFont="1" applyFill="1" applyBorder="1"/>
    <x:xf numFmtId="0" fontId="12" fillId="5" borderId="11" xfId="0" applyNumberFormat="1" applyFont="1" applyFill="1" applyBorder="1" applyAlignment="1">
      <x:alignment horizontal="center"/>
    </x:xf>
    <x:xf numFmtId="0" fontId="12" fillId="5" borderId="12" xfId="0" applyNumberFormat="1" applyFont="1" applyFill="1" applyBorder="1" applyAlignment="1">
      <x:alignment horizontal="center"/>
    </x:xf>
    <x:xf numFmtId="0" fontId="12" fillId="5" borderId="13" xfId="0" applyNumberFormat="1" applyFont="1" applyFill="1" applyBorder="1" applyAlignment="1">
      <x:alignment horizontal="center"/>
    </x:xf>
    <x:xf numFmtId="0" fontId="12" fillId="5" borderId="14" xfId="0" applyNumberFormat="1" applyFont="1" applyFill="1" applyBorder="1" applyAlignment="1">
      <x:alignment horizontal="center"/>
    </x:xf>
    <x:xf numFmtId="0" fontId="12" fillId="5" borderId="11" xfId="0" applyNumberFormat="1" applyFont="1" applyFill="1" applyBorder="1" applyAlignment="1">
      <x:alignment horizontal="center" vertical="center"/>
    </x:xf>
    <x:xf numFmtId="0" fontId="12" fillId="5" borderId="12" xfId="0" applyNumberFormat="1" applyFont="1" applyFill="1" applyBorder="1" applyAlignment="1">
      <x:alignment horizontal="center" vertical="center"/>
    </x:xf>
    <x:xf numFmtId="0" fontId="12" fillId="5" borderId="13" xfId="0" applyNumberFormat="1" applyFont="1" applyFill="1" applyBorder="1" applyAlignment="1">
      <x:alignment horizontal="center" vertical="center"/>
    </x:xf>
    <x:xf numFmtId="0" fontId="12" fillId="5" borderId="14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/>
    <x:xf numFmtId="0" fontId="12" fillId="7" borderId="11" xfId="0" applyNumberFormat="1" applyFont="1" applyFill="1" applyBorder="1"/>
    <x:xf numFmtId="0" fontId="12" fillId="7" borderId="12" xfId="0" applyNumberFormat="1" applyFont="1" applyFill="1" applyBorder="1"/>
    <x:xf numFmtId="0" fontId="12" fillId="7" borderId="13" xfId="0" applyNumberFormat="1" applyFont="1" applyFill="1" applyBorder="1"/>
    <x:xf numFmtId="0" fontId="12" fillId="7" borderId="14" xfId="0" applyNumberFormat="1" applyFont="1" applyFill="1" applyBorder="1"/>
    <x:xf numFmtId="0" fontId="12" fillId="7" borderId="11" xfId="0" applyNumberFormat="1" applyFont="1" applyFill="1" applyBorder="1" applyAlignment="1">
      <x:alignment horizontal="center"/>
    </x:xf>
    <x:xf numFmtId="0" fontId="12" fillId="7" borderId="12" xfId="0" applyNumberFormat="1" applyFont="1" applyFill="1" applyBorder="1" applyAlignment="1">
      <x:alignment horizontal="center"/>
    </x:xf>
    <x:xf numFmtId="0" fontId="12" fillId="7" borderId="13" xfId="0" applyNumberFormat="1" applyFont="1" applyFill="1" applyBorder="1" applyAlignment="1">
      <x:alignment horizontal="center"/>
    </x:xf>
    <x:xf numFmtId="0" fontId="12" fillId="7" borderId="14" xfId="0" applyNumberFormat="1" applyFont="1" applyFill="1" applyBorder="1" applyAlignment="1">
      <x:alignment horizontal="center"/>
    </x:xf>
    <x:xf numFmtId="0" fontId="12" fillId="7" borderId="11" xfId="0" applyNumberFormat="1" applyFont="1" applyFill="1" applyBorder="1" applyAlignment="1">
      <x:alignment horizontal="center" vertical="center"/>
    </x:xf>
    <x:xf numFmtId="0" fontId="12" fillId="7" borderId="12" xfId="0" applyNumberFormat="1" applyFont="1" applyFill="1" applyBorder="1" applyAlignment="1">
      <x:alignment horizontal="center" vertical="center"/>
    </x:xf>
    <x:xf numFmtId="0" fontId="12" fillId="7" borderId="13" xfId="0" applyNumberFormat="1" applyFont="1" applyFill="1" applyBorder="1" applyAlignment="1">
      <x:alignment horizontal="center" vertical="center"/>
    </x:xf>
    <x:xf numFmtId="0" fontId="12" fillId="7" borderId="14" xfId="0" applyNumberFormat="1" applyFont="1" applyFill="1" applyBorder="1" applyAlignment="1">
      <x:alignment horizontal="center" vertical="center"/>
    </x:xf>
    <x:xf numFmtId="0" fontId="12" fillId="6" borderId="0" xfId="0" applyNumberFormat="1" applyFont="1" applyFill="1" applyBorder="1"/>
    <x:xf numFmtId="0" fontId="12" fillId="6" borderId="11" xfId="0" applyNumberFormat="1" applyFont="1" applyFill="1" applyBorder="1"/>
    <x:xf numFmtId="0" fontId="12" fillId="6" borderId="12" xfId="0" applyNumberFormat="1" applyFont="1" applyFill="1" applyBorder="1"/>
    <x:xf numFmtId="0" fontId="12" fillId="6" borderId="13" xfId="0" applyNumberFormat="1" applyFont="1" applyFill="1" applyBorder="1"/>
    <x:xf numFmtId="0" fontId="12" fillId="6" borderId="14" xfId="0" applyNumberFormat="1" applyFont="1" applyFill="1" applyBorder="1"/>
    <x:xf numFmtId="0" fontId="12" fillId="6" borderId="11" xfId="0" applyNumberFormat="1" applyFont="1" applyFill="1" applyBorder="1" applyAlignment="1">
      <x:alignment horizontal="center"/>
    </x:xf>
    <x:xf numFmtId="0" fontId="12" fillId="6" borderId="12" xfId="0" applyNumberFormat="1" applyFont="1" applyFill="1" applyBorder="1" applyAlignment="1">
      <x:alignment horizontal="center"/>
    </x:xf>
    <x:xf numFmtId="0" fontId="12" fillId="6" borderId="13" xfId="0" applyNumberFormat="1" applyFont="1" applyFill="1" applyBorder="1" applyAlignment="1">
      <x:alignment horizontal="center"/>
    </x:xf>
    <x:xf numFmtId="0" fontId="12" fillId="6" borderId="14" xfId="0" applyNumberFormat="1" applyFont="1" applyFill="1" applyBorder="1" applyAlignment="1">
      <x:alignment horizontal="center"/>
    </x:xf>
    <x:xf numFmtId="0" fontId="12" fillId="6" borderId="11" xfId="0" applyNumberFormat="1" applyFont="1" applyFill="1" applyBorder="1" applyAlignment="1">
      <x:alignment horizontal="center" vertical="center"/>
    </x:xf>
    <x:xf numFmtId="0" fontId="12" fillId="6" borderId="12" xfId="0" applyNumberFormat="1" applyFont="1" applyFill="1" applyBorder="1" applyAlignment="1">
      <x:alignment horizontal="center" vertical="center"/>
    </x:xf>
    <x:xf numFmtId="0" fontId="12" fillId="6" borderId="13" xfId="0" applyNumberFormat="1" applyFont="1" applyFill="1" applyBorder="1" applyAlignment="1">
      <x:alignment horizontal="center" vertical="center"/>
    </x:xf>
    <x:xf numFmtId="0" fontId="12" fillId="6" borderId="1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13" fillId="4" borderId="7" xfId="0" applyNumberFormat="1" applyFont="1" applyFill="1" applyBorder="1" applyAlignment="1">
      <x:alignment horizontal="center" vertical="center" wrapText="1"/>
    </x:xf>
    <x:xf numFmtId="0" fontId="13" fillId="4" borderId="2" xfId="0" applyNumberFormat="1" applyFont="1" applyFill="1" applyBorder="1" applyAlignment="1">
      <x:alignment horizontal="center" vertical="center" wrapText="1"/>
    </x:xf>
    <x:xf numFmtId="0" fontId="13" fillId="4" borderId="8" xfId="0" applyNumberFormat="1" applyFont="1" applyFill="1" applyBorder="1" applyAlignment="1">
      <x:alignment horizontal="center" vertical="center" wrapText="1"/>
    </x:xf>
    <x:xf numFmtId="0" fontId="6" fillId="0" borderId="9" xfId="0" applyNumberFormat="1" applyFont="1" applyFill="1" applyBorder="1" applyAlignment="1">
      <x:alignment vertical="top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/>
    <x:xf numFmtId="200" fontId="6" fillId="0" borderId="9" xfId="0" applyNumberFormat="1" applyFont="1" applyFill="1" applyBorder="1"/>
    <x:xf numFmtId="0" fontId="6" fillId="0" borderId="5" xfId="0" applyNumberFormat="1" applyFont="1" applyFill="1" applyBorder="1"/>
    <x:xf numFmtId="200" fontId="6" fillId="0" borderId="5" xfId="0" applyNumberFormat="1" applyFont="1" applyFill="1" applyBorder="1"/>
    <x:xf numFmtId="0" fontId="6" fillId="0" borderId="10" xfId="0" applyNumberFormat="1" applyFont="1" applyFill="1" applyBorder="1"/>
    <x:xf numFmtId="200" fontId="6" fillId="0" borderId="10" xfId="0" applyNumberFormat="1" applyFont="1" applyFill="1" applyBorder="1"/>
    <x:xf numFmtId="0" fontId="14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/>
    </x:xf>
    <x:xf numFmtId="200" fontId="8" fillId="6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/>
    </x:xf>
    <x:xf numFmtId="0" fontId="15" fillId="3" borderId="11" xfId="0" applyNumberFormat="1" applyFont="1" applyFill="1" applyBorder="1" applyAlignment="1">
      <x:alignment horizontal="center" vertical="center"/>
    </x:xf>
    <x:xf numFmtId="0" fontId="15" fillId="3" borderId="12" xfId="0" applyNumberFormat="1" applyFont="1" applyFill="1" applyBorder="1" applyAlignment="1">
      <x:alignment horizontal="center" vertical="center"/>
    </x:xf>
    <x:xf numFmtId="0" fontId="15" fillId="5" borderId="11" xfId="0" applyNumberFormat="1" applyFont="1" applyFill="1" applyBorder="1" applyAlignment="1">
      <x:alignment horizontal="center" vertical="center"/>
    </x:xf>
    <x:xf numFmtId="0" fontId="15" fillId="5" borderId="12" xfId="0" applyNumberFormat="1" applyFont="1" applyFill="1" applyBorder="1" applyAlignment="1">
      <x:alignment horizontal="center" vertical="center"/>
    </x:xf>
    <x:xf numFmtId="0" fontId="15" fillId="7" borderId="11" xfId="0" applyNumberFormat="1" applyFont="1" applyFill="1" applyBorder="1" applyAlignment="1">
      <x:alignment horizontal="center" vertical="center"/>
    </x:xf>
    <x:xf numFmtId="0" fontId="15" fillId="7" borderId="12" xfId="0" applyNumberFormat="1" applyFont="1" applyFill="1" applyBorder="1" applyAlignment="1">
      <x:alignment horizontal="center" vertical="center"/>
    </x:xf>
    <x:xf numFmtId="0" fontId="15" fillId="6" borderId="11" xfId="0" applyNumberFormat="1" applyFont="1" applyFill="1" applyBorder="1" applyAlignment="1">
      <x:alignment horizontal="center" vertical="center"/>
    </x:xf>
    <x:xf numFmtId="0" fontId="15" fillId="6" borderId="12" xfId="0" applyNumberFormat="1" applyFont="1" applyFill="1" applyBorder="1" applyAlignment="1">
      <x:alignment horizontal="center" vertical="center"/>
    </x:xf>
    <x:xf numFmtId="0" fontId="15" fillId="3" borderId="13" xfId="0" applyNumberFormat="1" applyFont="1" applyFill="1" applyBorder="1" applyAlignment="1">
      <x:alignment horizontal="center" vertical="center"/>
    </x:xf>
    <x:xf numFmtId="0" fontId="15" fillId="3" borderId="14" xfId="0" applyNumberFormat="1" applyFont="1" applyFill="1" applyBorder="1" applyAlignment="1">
      <x:alignment horizontal="center" vertical="center"/>
    </x:xf>
    <x:xf numFmtId="0" fontId="15" fillId="5" borderId="13" xfId="0" applyNumberFormat="1" applyFont="1" applyFill="1" applyBorder="1" applyAlignment="1">
      <x:alignment horizontal="center" vertical="center"/>
    </x:xf>
    <x:xf numFmtId="0" fontId="15" fillId="5" borderId="14" xfId="0" applyNumberFormat="1" applyFont="1" applyFill="1" applyBorder="1" applyAlignment="1">
      <x:alignment horizontal="center" vertical="center"/>
    </x:xf>
    <x:xf numFmtId="0" fontId="15" fillId="7" borderId="13" xfId="0" applyNumberFormat="1" applyFont="1" applyFill="1" applyBorder="1" applyAlignment="1">
      <x:alignment horizontal="center" vertical="center"/>
    </x:xf>
    <x:xf numFmtId="0" fontId="15" fillId="7" borderId="14" xfId="0" applyNumberFormat="1" applyFont="1" applyFill="1" applyBorder="1" applyAlignment="1">
      <x:alignment horizontal="center" vertical="center"/>
    </x:xf>
    <x:xf numFmtId="0" fontId="15" fillId="6" borderId="13" xfId="0" applyNumberFormat="1" applyFont="1" applyFill="1" applyBorder="1" applyAlignment="1">
      <x:alignment horizontal="center" vertical="center"/>
    </x:xf>
    <x:xf numFmtId="0" fontId="15" fillId="6" borderId="14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4a5538addc40e9" /><Relationship Type="http://schemas.openxmlformats.org/officeDocument/2006/relationships/theme" Target="/xl/theme/theme1.xml" Id="R5ce71f568c414438" /><Relationship Type="http://schemas.openxmlformats.org/officeDocument/2006/relationships/sharedStrings" Target="/xl/sharedStrings.xml" Id="R9f6675b56b874d84" /><Relationship Type="http://schemas.openxmlformats.org/officeDocument/2006/relationships/worksheet" Target="/xl/worksheets/sheet1.xml" Id="R76226c596ef24678" /><Relationship Type="http://schemas.openxmlformats.org/officeDocument/2006/relationships/worksheet" Target="/xl/worksheets/sheet2.xml" Id="R7a500db210d34a66" /><Relationship Type="http://schemas.openxmlformats.org/officeDocument/2006/relationships/worksheet" Target="/xl/worksheets/sheet3.xml" Id="R43b102640f5747bf" /><Relationship Type="http://schemas.openxmlformats.org/officeDocument/2006/relationships/worksheet" Target="/xl/worksheets/sheet4.xml" Id="R682507f0a7654d2b" /><Relationship Type="http://schemas.openxmlformats.org/officeDocument/2006/relationships/worksheet" Target="/xl/worksheets/sheet5.xml" Id="R1e4b23f19bcd4052" /><Relationship Type="http://schemas.openxmlformats.org/officeDocument/2006/relationships/worksheet" Target="/xl/worksheets/sheet6.xml" Id="R5449c00efcbd4554" /><Relationship Type="http://schemas.openxmlformats.org/officeDocument/2006/relationships/worksheet" Target="/xl/worksheets/sheet7.xml" Id="R2efbfe21d69c49db" /><Relationship Type="http://schemas.openxmlformats.org/officeDocument/2006/relationships/worksheet" Target="/xl/worksheets/sheet8.xml" Id="R9d7d1f10f33f44d7" /><Relationship Type="http://schemas.openxmlformats.org/officeDocument/2006/relationships/worksheet" Target="/xl/worksheets/sheet9.xml" Id="Rf72d64ed662e48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2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 ht="34" customHeight="1">
      <x:c r="A1" s="18" t="str">
        <x:v>Pangkalan Data DASS-21 + TF-CBT-DHT</x:v>
      </x:c>
      <x:c r="B1" s="18" t="str">
        <x:v>Pangkalan Data DASS-21 + TF-CBT-DHT</x:v>
      </x:c>
      <x:c r="C1" s="18" t="str">
        <x:v>Pangkalan Data DASS-21 + TF-CBT-DHT</x:v>
      </x:c>
      <x:c r="D1" s="18" t="str">
        <x:v>Pangkalan Data DASS-21 + TF-CBT-DHT</x:v>
      </x:c>
      <x:c r="E1" s="18" t="str">
        <x:v>Pangkalan Data DASS-21 + TF-CBT-DHT</x:v>
      </x:c>
      <x:c r="F1" s="18" t="str">
        <x:v>Pangkalan Data DASS-21 + TF-CBT-DHT</x:v>
      </x:c>
      <x:c r="G1" s="18" t="str">
        <x:v>Pangkalan Data DASS-21 + TF-CBT-DHT</x:v>
      </x:c>
      <x:c r="H1" s="18" t="str">
        <x:v>Pangkalan Data DASS-21 + TF-CBT-DHT</x:v>
      </x:c>
    </x:row>
    <x:row r="2" ht="34" customHeight="1">
      <x:c r="A2" s="18" t="str">
        <x:v>Pangkalan Data DASS-21 + TF-CBT-DHT</x:v>
      </x:c>
      <x:c r="B2" s="18" t="str">
        <x:v>Pangkalan Data DASS-21 + TF-CBT-DHT</x:v>
      </x:c>
      <x:c r="C2" s="18" t="str">
        <x:v>Pangkalan Data DASS-21 + TF-CBT-DHT</x:v>
      </x:c>
      <x:c r="D2" s="18" t="str">
        <x:v>Pangkalan Data DASS-21 + TF-CBT-DHT</x:v>
      </x:c>
      <x:c r="E2" s="18" t="str">
        <x:v>Pangkalan Data DASS-21 + TF-CBT-DHT</x:v>
      </x:c>
      <x:c r="F2" s="18" t="str">
        <x:v>Pangkalan Data DASS-21 + TF-CBT-DHT</x:v>
      </x:c>
      <x:c r="G2" s="18" t="str">
        <x:v>Pangkalan Data DASS-21 + TF-CBT-DHT</x:v>
      </x:c>
      <x:c r="H2" s="18" t="str">
        <x:v>Pangkalan Data DASS-21 + TF-CBT-DHT</x:v>
      </x:c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Prototaip penyelidikan setempat · versi 1.0.0-prototype</x:v>
      </x:c>
      <x:c r="B4" s="20" t="str">
        <x:v>Prototaip penyelidikan setempat · versi 1.0.0-prototype</x:v>
      </x:c>
      <x:c r="C4" s="20" t="str">
        <x:v>Prototaip penyelidikan setempat · versi 1.0.0-prototype</x:v>
      </x:c>
      <x:c r="D4" s="20" t="str">
        <x:v>Prototaip penyelidikan setempat · versi 1.0.0-prototype</x:v>
      </x:c>
      <x:c r="E4" s="20" t="str">
        <x:v>Prototaip penyelidikan setempat · versi 1.0.0-prototype</x:v>
      </x:c>
      <x:c r="F4" s="20" t="str">
        <x:v>Prototaip penyelidikan setempat · versi 1.0.0-prototype</x:v>
      </x:c>
      <x:c r="G4" s="20" t="str">
        <x:v>Prototaip penyelidikan setempat · versi 1.0.0-prototype</x:v>
      </x:c>
      <x:c r="H4" s="20" t="str">
        <x:v>Prototaip penyelidikan setempat · versi 1.0.0-prototype</x:v>
      </x:c>
    </x:row>
    <x:row r="5">
      <x:c r="A5" s="19"/>
      <x:c r="B5" s="19"/>
      <x:c r="C5" s="19"/>
      <x:c r="D5" s="19"/>
      <x:c r="E5" s="19"/>
      <x:c r="F5" s="19"/>
      <x:c r="G5" s="19"/>
      <x:c r="H5" s="19"/>
    </x:row>
    <x:row r="6" ht="34" customHeight="1">
      <x:c r="A6" s="21" t="str">
        <x:v>TUJUAN</x:v>
      </x:c>
      <x:c r="B6" s="22" t="str">
        <x:v>Menyimpan submission berpseudonim, skor DASS-21 dan indikator trauma eksploratori yang dipetakan kepada DHT.</x:v>
      </x:c>
      <x:c r="C6" s="19"/>
      <x:c r="D6" s="19"/>
      <x:c r="E6" s="19"/>
      <x:c r="F6" s="19"/>
      <x:c r="G6" s="19"/>
      <x:c r="H6" s="19"/>
    </x:row>
    <x:row r="7" ht="34" customHeight="1">
      <x:c r="A7" s="23" t="str">
        <x:v>AMARAN</x:v>
      </x:c>
      <x:c r="B7" s="22" t="str">
        <x:v>Bukan diagnosis, bukan triage klinikal dan bukan pengganti penilaian profesional. Item trauma belum divalidasi.</x:v>
      </x:c>
      <x:c r="C7" s="19"/>
      <x:c r="D7" s="19"/>
      <x:c r="E7" s="19"/>
      <x:c r="F7" s="19"/>
      <x:c r="G7" s="19"/>
      <x:c r="H7" s="19"/>
    </x:row>
    <x:row r="8" ht="34" customHeight="1">
      <x:c r="A8" s="23" t="str">
        <x:v>PRIVASI</x:v>
      </x:c>
      <x:c r="B8" s="22" t="str">
        <x:v>Gunakan ID kajian sahaja. Jangan simpan nama, nombor IC, telefon atau e-mel dalam workbook ini.</x:v>
      </x:c>
      <x:c r="C8" s="19"/>
      <x:c r="D8" s="19"/>
      <x:c r="E8" s="19"/>
      <x:c r="F8" s="19"/>
      <x:c r="G8" s="19"/>
      <x:c r="H8" s="19"/>
    </x:row>
    <x:row r="9" ht="34" customHeight="1">
      <x:c r="A9" s="23" t="str">
        <x:v>AKSES</x:v>
      </x:c>
      <x:c r="B9" s="22" t="str">
        <x:v>Hadkan akses folder; simpan jadual pemadanan ID kepada nama dalam lokasi lain yang terenkripsi.</x:v>
      </x:c>
      <x:c r="C9" s="19"/>
      <x:c r="D9" s="19"/>
      <x:c r="E9" s="19"/>
      <x:c r="F9" s="19"/>
      <x:c r="G9" s="19"/>
      <x:c r="H9" s="19"/>
    </x:row>
    <x:row r="10" ht="34" customHeight="1">
      <x:c r="A10" s="23" t="str">
        <x:v>OPERASI</x:v>
      </x:c>
      <x:c r="B10" s="22" t="str">
        <x:v>Tutup workbook di Excel ketika aplikasi menerima submission untuk mengelakkan fail dikunci.</x:v>
      </x:c>
      <x:c r="C10" s="19"/>
      <x:c r="D10" s="19"/>
      <x:c r="E10" s="19"/>
      <x:c r="F10" s="19"/>
      <x:c r="G10" s="19"/>
      <x:c r="H10" s="19"/>
    </x:row>
    <x:row r="11" ht="34" customHeight="1">
      <x:c r="A11" s="23" t="str">
        <x:v>RISIKO</x:v>
      </x:c>
      <x:c r="B11" s="22" t="str">
        <x:v>Aplikasi tidak menghantar amaran automatik. Tetapkan SOP semakan, tempoh respons dan laluan rujukan sebelum kajian sebenar.</x:v>
      </x:c>
      <x:c r="C11" s="19"/>
      <x:c r="D11" s="19"/>
      <x:c r="E11" s="19"/>
      <x:c r="F11" s="19"/>
      <x:c r="G11" s="19"/>
      <x:c r="H11" s="19"/>
    </x:row>
    <x:row r="12" ht="34" customHeight="1">
      <x:c r="A12" s="23" t="str">
        <x:v>SARINGAN TRAUMA</x:v>
      </x:c>
      <x:c r="B12" s="22" t="str">
        <x:v>Respons 2 atau 3 dianggap indikator positif untuk sorting. TR01/TR07 pada respons sekurang-kurangnya 1 mencetuskan bendera keselamatan.</x:v>
      </x:c>
      <x:c r="C12" s="19"/>
      <x:c r="D12" s="19"/>
      <x:c r="E12" s="19"/>
      <x:c r="F12" s="19"/>
      <x:c r="G12" s="19"/>
      <x:c r="H12" s="19"/>
    </x:row>
    <x:row r="13" ht="34" customHeight="1">
      <x:c r="A13" s="24" t="str">
        <x:v>ETIKA</x:v>
      </x:c>
      <x:c r="B13" s="22" t="str">
        <x:v>Dapatkan kelulusan etika, persetujuan termaklum, semakan pakar dan pengesahan psikometrik sebelum penggunaan sebenar.</x:v>
      </x:c>
      <x:c r="C13" s="19"/>
      <x:c r="D13" s="19"/>
      <x:c r="E13" s="19"/>
      <x:c r="F13" s="19"/>
      <x:c r="G13" s="19"/>
      <x:c r="H13" s="19"/>
    </x:row>
    <x:row r="14">
      <x:c r="A14" s="19"/>
      <x:c r="B14" s="19"/>
      <x:c r="C14" s="19"/>
      <x:c r="D14" s="19"/>
      <x:c r="E14" s="19"/>
      <x:c r="F14" s="19"/>
      <x:c r="G14" s="19"/>
      <x:c r="H14" s="19"/>
    </x:row>
    <x:row r="15">
      <x:c r="A15" s="25" t="str">
        <x:v>Sumber rujukan</x:v>
      </x:c>
      <x:c r="B15" s="26" t="str">
        <x:v>Sumber rujukan</x:v>
      </x:c>
      <x:c r="C15" s="26" t="str">
        <x:v>Sumber rujukan</x:v>
      </x:c>
      <x:c r="D15" s="26" t="str">
        <x:v>Sumber rujukan</x:v>
      </x:c>
      <x:c r="E15" s="26" t="str">
        <x:v>Sumber rujukan</x:v>
      </x:c>
      <x:c r="F15" s="26" t="str">
        <x:v>Sumber rujukan</x:v>
      </x:c>
      <x:c r="G15" s="26" t="str">
        <x:v>Sumber rujukan</x:v>
      </x:c>
      <x:c r="H15" s="27" t="str">
        <x:v>Sumber rujukan</x:v>
      </x:c>
    </x:row>
    <x:row r="16">
      <x:c r="A16" s="28" t="str">
        <x:v>Borang DASS awam KKM</x:v>
      </x:c>
      <x:c r="B16" s="29" t="str">
        <x:v>https://mits.moh.gov.my/Modules/Patient/public-dass/</x:v>
      </x:c>
      <x:c r="C16" s="19"/>
      <x:c r="D16" s="19"/>
      <x:c r="E16" s="19"/>
      <x:c r="F16" s="19"/>
      <x:c r="G16" s="19"/>
      <x:c r="H16" s="19"/>
    </x:row>
    <x:row r="17">
      <x:c r="A17" s="28" t="str">
        <x:v>Pemarkahan DASS-21 (kajian Malaysia)</x:v>
      </x:c>
      <x:c r="B17" s="29" t="str">
        <x:v>https://pmc.ncbi.nlm.nih.gov/articles/PMC6805560/</x:v>
      </x:c>
      <x:c r="C17" s="19"/>
      <x:c r="D17" s="19"/>
      <x:c r="E17" s="19"/>
      <x:c r="F17" s="19"/>
      <x:c r="G17" s="19"/>
      <x:c r="H17" s="19"/>
    </x:row>
    <x:row r="18">
      <x:c r="A18" s="28" t="str">
        <x:v>DHT dalam kaunseling</x:v>
      </x:c>
      <x:c r="B18" s="29" t="str">
        <x:v>https://doi.org/10.37134/bitara.vol10.7.2017</x:v>
      </x:c>
      <x:c r="C18" s="19"/>
      <x:c r="D18" s="19"/>
      <x:c r="E18" s="19"/>
      <x:c r="F18" s="19"/>
      <x:c r="G18" s="19"/>
      <x:c r="H18" s="19"/>
    </x:row>
    <x:row r="19">
      <x:c r="A19" s="28" t="str">
        <x:v>Domain impak TF-CBT</x:v>
      </x:c>
      <x:c r="B19" s="29" t="str">
        <x:v>https://pmc.ncbi.nlm.nih.gov/articles/PMC4476061/</x:v>
      </x:c>
      <x:c r="C19" s="19"/>
      <x:c r="D19" s="19"/>
      <x:c r="E19" s="19"/>
      <x:c r="F19" s="19"/>
      <x:c r="G19" s="19"/>
      <x:c r="H19" s="19"/>
    </x:row>
    <x:row r="20">
      <x:c r="A20" s="28" t="str">
        <x:v>Bantuan</x:v>
      </x:c>
      <x:c r="B20" s="29" t="str">
        <x:v>Talian HEAL 15555; bahaya segera: 999</x:v>
      </x:c>
      <x:c r="C20" s="19"/>
      <x:c r="D20" s="19"/>
      <x:c r="E20" s="19"/>
      <x:c r="F20" s="19"/>
      <x:c r="G20" s="19"/>
      <x:c r="H20" s="19"/>
    </x:row>
  </x:sheetData>
  <x:mergeCells>
    <x:mergeCell ref="A1:H2"/>
    <x:mergeCell ref="A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30" hidden="0" customWidth="1"/>
    <x:col min="47" max="47" width="30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9" hidden="0" customWidth="1"/>
    <x:col min="62" max="62" width="11" hidden="0" customWidth="1"/>
  </x:cols>
  <x:sheetData>
    <x:row r="1" ht="38" customHeight="1">
      <x:c r="A1" s="126" t="str">
        <x:v>submission_id</x:v>
      </x:c>
      <x:c r="B1" s="127" t="str">
        <x:v>submitted_at</x:v>
      </x:c>
      <x:c r="C1" s="127" t="str">
        <x:v>student_id</x:v>
      </x:c>
      <x:c r="D1" s="127" t="str">
        <x:v>cohort</x:v>
      </x:c>
      <x:c r="E1" s="127" t="str">
        <x:v>assessment_phase</x:v>
      </x:c>
      <x:c r="F1" s="127" t="str">
        <x:v>consent_dass</x:v>
      </x:c>
      <x:c r="G1" s="127" t="str">
        <x:v>consent_trauma</x:v>
      </x:c>
      <x:c r="H1" s="127" t="str">
        <x:v>dass_q01</x:v>
      </x:c>
      <x:c r="I1" s="127" t="str">
        <x:v>dass_q02</x:v>
      </x:c>
      <x:c r="J1" s="127" t="str">
        <x:v>dass_q03</x:v>
      </x:c>
      <x:c r="K1" s="127" t="str">
        <x:v>dass_q04</x:v>
      </x:c>
      <x:c r="L1" s="127" t="str">
        <x:v>dass_q05</x:v>
      </x:c>
      <x:c r="M1" s="127" t="str">
        <x:v>dass_q06</x:v>
      </x:c>
      <x:c r="N1" s="127" t="str">
        <x:v>dass_q07</x:v>
      </x:c>
      <x:c r="O1" s="127" t="str">
        <x:v>dass_q08</x:v>
      </x:c>
      <x:c r="P1" s="127" t="str">
        <x:v>dass_q09</x:v>
      </x:c>
      <x:c r="Q1" s="127" t="str">
        <x:v>dass_q10</x:v>
      </x:c>
      <x:c r="R1" s="127" t="str">
        <x:v>dass_q11</x:v>
      </x:c>
      <x:c r="S1" s="127" t="str">
        <x:v>dass_q12</x:v>
      </x:c>
      <x:c r="T1" s="127" t="str">
        <x:v>dass_q13</x:v>
      </x:c>
      <x:c r="U1" s="127" t="str">
        <x:v>dass_q14</x:v>
      </x:c>
      <x:c r="V1" s="127" t="str">
        <x:v>dass_q15</x:v>
      </x:c>
      <x:c r="W1" s="127" t="str">
        <x:v>dass_q16</x:v>
      </x:c>
      <x:c r="X1" s="127" t="str">
        <x:v>dass_q17</x:v>
      </x:c>
      <x:c r="Y1" s="127" t="str">
        <x:v>dass_q18</x:v>
      </x:c>
      <x:c r="Z1" s="127" t="str">
        <x:v>dass_q19</x:v>
      </x:c>
      <x:c r="AA1" s="127" t="str">
        <x:v>dass_q20</x:v>
      </x:c>
      <x:c r="AB1" s="127" t="str">
        <x:v>dass_q21</x:v>
      </x:c>
      <x:c r="AC1" s="127" t="str">
        <x:v>depression_raw</x:v>
      </x:c>
      <x:c r="AD1" s="127" t="str">
        <x:v>anxiety_raw</x:v>
      </x:c>
      <x:c r="AE1" s="127" t="str">
        <x:v>stress_raw</x:v>
      </x:c>
      <x:c r="AF1" s="127" t="str">
        <x:v>depression_score</x:v>
      </x:c>
      <x:c r="AG1" s="127" t="str">
        <x:v>anxiety_score</x:v>
      </x:c>
      <x:c r="AH1" s="127" t="str">
        <x:v>stress_score</x:v>
      </x:c>
      <x:c r="AI1" s="127" t="str">
        <x:v>depression_level</x:v>
      </x:c>
      <x:c r="AJ1" s="127" t="str">
        <x:v>anxiety_level</x:v>
      </x:c>
      <x:c r="AK1" s="127" t="str">
        <x:v>stress_level</x:v>
      </x:c>
      <x:c r="AL1" s="127" t="str">
        <x:v>highest_dass_level</x:v>
      </x:c>
      <x:c r="AM1" s="127" t="str">
        <x:v>trauma_answered_count</x:v>
      </x:c>
      <x:c r="AN1" s="127" t="str">
        <x:v>trauma_positive_count</x:v>
      </x:c>
      <x:c r="AO1" s="127" t="str">
        <x:v>trauma_dharuriyyat_positive_count</x:v>
      </x:c>
      <x:c r="AP1" s="127" t="str">
        <x:v>immediate_safety_flag</x:v>
      </x:c>
      <x:c r="AQ1" s="127" t="str">
        <x:v>review_priority</x:v>
      </x:c>
      <x:c r="AR1" s="127" t="str">
        <x:v>trauma_domains_flagged</x:v>
      </x:c>
      <x:c r="AS1" s="127" t="str">
        <x:v>trauma_items_flagged</x:v>
      </x:c>
      <x:c r="AT1" s="127" t="str">
        <x:v>trauma_tr01</x:v>
      </x:c>
      <x:c r="AU1" s="127" t="str">
        <x:v>trauma_tr02</x:v>
      </x:c>
      <x:c r="AV1" s="127" t="str">
        <x:v>trauma_tr03</x:v>
      </x:c>
      <x:c r="AW1" s="127" t="str">
        <x:v>trauma_tr04</x:v>
      </x:c>
      <x:c r="AX1" s="127" t="str">
        <x:v>trauma_tr05</x:v>
      </x:c>
      <x:c r="AY1" s="127" t="str">
        <x:v>trauma_tr06</x:v>
      </x:c>
      <x:c r="AZ1" s="127" t="str">
        <x:v>trauma_tr07</x:v>
      </x:c>
      <x:c r="BA1" s="127" t="str">
        <x:v>trauma_tr08</x:v>
      </x:c>
      <x:c r="BB1" s="127" t="str">
        <x:v>trauma_tr09</x:v>
      </x:c>
      <x:c r="BC1" s="127" t="str">
        <x:v>trauma_tr10</x:v>
      </x:c>
      <x:c r="BD1" s="127" t="str">
        <x:v>trauma_tr11</x:v>
      </x:c>
      <x:c r="BE1" s="127" t="str">
        <x:v>trauma_tr12</x:v>
      </x:c>
      <x:c r="BF1" s="127" t="str">
        <x:v>trauma_tr13</x:v>
      </x:c>
      <x:c r="BG1" s="127" t="str">
        <x:v>trauma_tr14</x:v>
      </x:c>
      <x:c r="BH1" s="127" t="str">
        <x:v>trauma_tr15</x:v>
      </x:c>
      <x:c r="BI1" s="128" t="str">
        <x:v>app_version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64" hidden="0" customWidth="1"/>
  </x:cols>
  <x:sheetData>
    <x:row r="1" ht="38" customHeight="1">
      <x:c r="A1" s="126" t="str">
        <x:v>submission_id</x:v>
      </x:c>
      <x:c r="B1" s="127" t="str">
        <x:v>submitted_at</x:v>
      </x:c>
      <x:c r="C1" s="127" t="str">
        <x:v>student_id</x:v>
      </x:c>
      <x:c r="D1" s="127" t="str">
        <x:v>item_id</x:v>
      </x:c>
      <x:c r="E1" s="127" t="str">
        <x:v>response</x:v>
      </x:c>
      <x:c r="F1" s="127" t="str">
        <x:v>positive_flag</x:v>
      </x:c>
      <x:c r="G1" s="127" t="str">
        <x:v>dht_domain</x:v>
      </x:c>
      <x:c r="H1" s="127" t="str">
        <x:v>need_level</x:v>
      </x:c>
      <x:c r="I1" s="127" t="str">
        <x:v>tfcbt_impact</x:v>
      </x:c>
      <x:c r="J1" s="127" t="str">
        <x:v>safety_critical</x:v>
      </x:c>
      <x:c r="K1" s="128" t="str">
        <x:v>item_text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8" hidden="0" customWidth="1"/>
    <x:col min="3" max="3" width="20" hidden="0" customWidth="1"/>
    <x:col min="4" max="4" width="20" hidden="0" customWidth="1"/>
    <x:col min="5" max="5" width="50" hidden="0" customWidth="1"/>
  </x:cols>
  <x:sheetData>
    <x:row r="1" ht="34" customHeight="1">
      <x:c r="A1" s="18" t="str">
        <x:v>Kamus Data · DASS-21</x:v>
      </x:c>
      <x:c r="B1" s="18" t="str">
        <x:v>Kamus Data · DASS-21</x:v>
      </x:c>
      <x:c r="C1" s="18" t="str">
        <x:v>Kamus Data · DASS-21</x:v>
      </x:c>
      <x:c r="D1" s="18" t="str">
        <x:v>Kamus Data · DASS-21</x:v>
      </x:c>
      <x:c r="E1" s="18" t="str">
        <x:v>Kamus Data · DASS-21</x:v>
      </x:c>
    </x:row>
    <x:row r="2" ht="34" customHeight="1">
      <x:c r="A2" s="18" t="str">
        <x:v>Kamus Data · DASS-21</x:v>
      </x:c>
      <x:c r="B2" s="18" t="str">
        <x:v>Kamus Data · DASS-21</x:v>
      </x:c>
      <x:c r="C2" s="18" t="str">
        <x:v>Kamus Data · DASS-21</x:v>
      </x:c>
      <x:c r="D2" s="18" t="str">
        <x:v>Kamus Data · DASS-21</x:v>
      </x:c>
      <x:c r="E2" s="18" t="str">
        <x:v>Kamus Data · DASS-21</x:v>
      </x:c>
    </x:row>
    <x:row r="3">
      <x:c r="A3" s="19"/>
      <x:c r="B3" s="19"/>
      <x:c r="C3" s="19"/>
      <x:c r="D3" s="19"/>
      <x:c r="E3" s="19"/>
    </x:row>
    <x:row r="4" ht="38" customHeight="1">
      <x:c r="A4" s="126" t="str">
        <x:v>item_id</x:v>
      </x:c>
      <x:c r="B4" s="127" t="str">
        <x:v>teks_bahasa_melayu</x:v>
      </x:c>
      <x:c r="C4" s="127" t="str">
        <x:v>subskala</x:v>
      </x:c>
      <x:c r="D4" s="127" t="str">
        <x:v>tempoh_rujukan</x:v>
      </x:c>
      <x:c r="E4" s="128" t="str">
        <x:v>source_url</x:v>
      </x:c>
    </x:row>
    <x:row r="5">
      <x:c r="A5" s="129" t="n">
        <x:v>1</x:v>
      </x:c>
      <x:c r="B5" s="130" t="str">
        <x:v>Saya dapati diri saya sukar ditenteramkan.</x:v>
      </x:c>
      <x:c r="C5" s="129" t="str">
        <x:v>Stress</x:v>
      </x:c>
      <x:c r="D5" s="129" t="str">
        <x:v>Minggu yang lalu</x:v>
      </x:c>
      <x:c r="E5" s="129" t="str">
        <x:v>https://mits.moh.gov.my/Modules/Patient/public-dass/</x:v>
      </x:c>
    </x:row>
    <x:row r="6">
      <x:c r="A6" s="131" t="n">
        <x:v>2</x:v>
      </x:c>
      <x:c r="B6" s="132" t="str">
        <x:v>Saya sedar mulut saya terasa kering.</x:v>
      </x:c>
      <x:c r="C6" s="131" t="str">
        <x:v>Anxiety</x:v>
      </x:c>
      <x:c r="D6" s="131" t="str">
        <x:v>Minggu yang lalu</x:v>
      </x:c>
      <x:c r="E6" s="131" t="str">
        <x:v>https://mits.moh.gov.my/Modules/Patient/public-dass/</x:v>
      </x:c>
    </x:row>
    <x:row r="7">
      <x:c r="A7" s="131" t="n">
        <x:v>3</x:v>
      </x:c>
      <x:c r="B7" s="132" t="str">
        <x:v>Saya tidak dapat mengalami perasaan positif sama sekali.</x:v>
      </x:c>
      <x:c r="C7" s="131" t="str">
        <x:v>Depression</x:v>
      </x:c>
      <x:c r="D7" s="131" t="str">
        <x:v>Minggu yang lalu</x:v>
      </x:c>
      <x:c r="E7" s="131" t="str">
        <x:v>https://mits.moh.gov.my/Modules/Patient/public-dass/</x:v>
      </x:c>
    </x:row>
    <x:row r="8">
      <x:c r="A8" s="131" t="n">
        <x:v>4</x:v>
      </x:c>
      <x:c r="B8" s="132" t="str">
        <x:v>Saya mengalami kesukaran bernafas (contohnya pernafasan yang laju, tercungap-cungap walaupun tidak melakukan senaman fizikal).</x:v>
      </x:c>
      <x:c r="C8" s="131" t="str">
        <x:v>Anxiety</x:v>
      </x:c>
      <x:c r="D8" s="131" t="str">
        <x:v>Minggu yang lalu</x:v>
      </x:c>
      <x:c r="E8" s="131" t="str">
        <x:v>https://mits.moh.gov.my/Modules/Patient/public-dass/</x:v>
      </x:c>
    </x:row>
    <x:row r="9">
      <x:c r="A9" s="131" t="n">
        <x:v>5</x:v>
      </x:c>
      <x:c r="B9" s="132" t="str">
        <x:v>Saya sukar untuk mendapatkan semangat bagi melakukan sesuatu perkara.</x:v>
      </x:c>
      <x:c r="C9" s="131" t="str">
        <x:v>Depression</x:v>
      </x:c>
      <x:c r="D9" s="131" t="str">
        <x:v>Minggu yang lalu</x:v>
      </x:c>
      <x:c r="E9" s="131" t="str">
        <x:v>https://mits.moh.gov.my/Modules/Patient/public-dass/</x:v>
      </x:c>
    </x:row>
    <x:row r="10">
      <x:c r="A10" s="131" t="n">
        <x:v>6</x:v>
      </x:c>
      <x:c r="B10" s="132" t="str">
        <x:v>Saya cenderung untuk bertindak keterlaluan dalam sesuatu keadaan.</x:v>
      </x:c>
      <x:c r="C10" s="131" t="str">
        <x:v>Stress</x:v>
      </x:c>
      <x:c r="D10" s="131" t="str">
        <x:v>Minggu yang lalu</x:v>
      </x:c>
      <x:c r="E10" s="131" t="str">
        <x:v>https://mits.moh.gov.my/Modules/Patient/public-dass/</x:v>
      </x:c>
    </x:row>
    <x:row r="11">
      <x:c r="A11" s="131" t="n">
        <x:v>7</x:v>
      </x:c>
      <x:c r="B11" s="132" t="str">
        <x:v>Saya rasa menggeletar (contohnya pada tangan).</x:v>
      </x:c>
      <x:c r="C11" s="131" t="str">
        <x:v>Anxiety</x:v>
      </x:c>
      <x:c r="D11" s="131" t="str">
        <x:v>Minggu yang lalu</x:v>
      </x:c>
      <x:c r="E11" s="131" t="str">
        <x:v>https://mits.moh.gov.my/Modules/Patient/public-dass/</x:v>
      </x:c>
    </x:row>
    <x:row r="12">
      <x:c r="A12" s="131" t="n">
        <x:v>8</x:v>
      </x:c>
      <x:c r="B12" s="132" t="str">
        <x:v>Saya rasa saya menggunakan banyak tenaga dalam keadaan cemas.</x:v>
      </x:c>
      <x:c r="C12" s="131" t="str">
        <x:v>Stress</x:v>
      </x:c>
      <x:c r="D12" s="131" t="str">
        <x:v>Minggu yang lalu</x:v>
      </x:c>
      <x:c r="E12" s="131" t="str">
        <x:v>https://mits.moh.gov.my/Modules/Patient/public-dass/</x:v>
      </x:c>
    </x:row>
    <x:row r="13">
      <x:c r="A13" s="131" t="n">
        <x:v>9</x:v>
      </x:c>
      <x:c r="B13" s="132" t="str">
        <x:v>Saya bimbang keadaan di mana saya mungkin menjadi panik dan melakukan perkara yang membodohkan diri sendiri.</x:v>
      </x:c>
      <x:c r="C13" s="131" t="str">
        <x:v>Anxiety</x:v>
      </x:c>
      <x:c r="D13" s="131" t="str">
        <x:v>Minggu yang lalu</x:v>
      </x:c>
      <x:c r="E13" s="131" t="str">
        <x:v>https://mits.moh.gov.my/Modules/Patient/public-dass/</x:v>
      </x:c>
    </x:row>
    <x:row r="14">
      <x:c r="A14" s="131" t="n">
        <x:v>10</x:v>
      </x:c>
      <x:c r="B14" s="132" t="str">
        <x:v>Saya rasa saya tidak mempunyai apa-apa untuk diharapkan.</x:v>
      </x:c>
      <x:c r="C14" s="131" t="str">
        <x:v>Depression</x:v>
      </x:c>
      <x:c r="D14" s="131" t="str">
        <x:v>Minggu yang lalu</x:v>
      </x:c>
      <x:c r="E14" s="131" t="str">
        <x:v>https://mits.moh.gov.my/Modules/Patient/public-dass/</x:v>
      </x:c>
    </x:row>
    <x:row r="15">
      <x:c r="A15" s="131" t="n">
        <x:v>11</x:v>
      </x:c>
      <x:c r="B15" s="132" t="str">
        <x:v>Saya dapati diri saya semakin gelisah.</x:v>
      </x:c>
      <x:c r="C15" s="131" t="str">
        <x:v>Stress</x:v>
      </x:c>
      <x:c r="D15" s="131" t="str">
        <x:v>Minggu yang lalu</x:v>
      </x:c>
      <x:c r="E15" s="131" t="str">
        <x:v>https://mits.moh.gov.my/Modules/Patient/public-dass/</x:v>
      </x:c>
    </x:row>
    <x:row r="16">
      <x:c r="A16" s="131" t="n">
        <x:v>12</x:v>
      </x:c>
      <x:c r="B16" s="132" t="str">
        <x:v>Saya rasa sukar untuk relaks.</x:v>
      </x:c>
      <x:c r="C16" s="131" t="str">
        <x:v>Stress</x:v>
      </x:c>
      <x:c r="D16" s="131" t="str">
        <x:v>Minggu yang lalu</x:v>
      </x:c>
      <x:c r="E16" s="131" t="str">
        <x:v>https://mits.moh.gov.my/Modules/Patient/public-dass/</x:v>
      </x:c>
    </x:row>
    <x:row r="17">
      <x:c r="A17" s="131" t="n">
        <x:v>13</x:v>
      </x:c>
      <x:c r="B17" s="132" t="str">
        <x:v>Saya rasa sedih dan murung.</x:v>
      </x:c>
      <x:c r="C17" s="131" t="str">
        <x:v>Depression</x:v>
      </x:c>
      <x:c r="D17" s="131" t="str">
        <x:v>Minggu yang lalu</x:v>
      </x:c>
      <x:c r="E17" s="131" t="str">
        <x:v>https://mits.moh.gov.my/Modules/Patient/public-dass/</x:v>
      </x:c>
    </x:row>
    <x:row r="18">
      <x:c r="A18" s="131" t="n">
        <x:v>14</x:v>
      </x:c>
      <x:c r="B18" s="132" t="str">
        <x:v>Saya tidak dapat menahan sabar dengan perkara yang menghalang saya meneruskan apa yang saya lakukan.</x:v>
      </x:c>
      <x:c r="C18" s="131" t="str">
        <x:v>Stress</x:v>
      </x:c>
      <x:c r="D18" s="131" t="str">
        <x:v>Minggu yang lalu</x:v>
      </x:c>
      <x:c r="E18" s="131" t="str">
        <x:v>https://mits.moh.gov.my/Modules/Patient/public-dass/</x:v>
      </x:c>
    </x:row>
    <x:row r="19">
      <x:c r="A19" s="131" t="n">
        <x:v>15</x:v>
      </x:c>
      <x:c r="B19" s="132" t="str">
        <x:v>Saya rasa hampir-hampir menjadi panik/cemas.</x:v>
      </x:c>
      <x:c r="C19" s="131" t="str">
        <x:v>Anxiety</x:v>
      </x:c>
      <x:c r="D19" s="131" t="str">
        <x:v>Minggu yang lalu</x:v>
      </x:c>
      <x:c r="E19" s="131" t="str">
        <x:v>https://mits.moh.gov.my/Modules/Patient/public-dass/</x:v>
      </x:c>
    </x:row>
    <x:row r="20">
      <x:c r="A20" s="131" t="n">
        <x:v>16</x:v>
      </x:c>
      <x:c r="B20" s="132" t="str">
        <x:v>Saya tidak bersemangat dengan apa jua yang saya lakukan.</x:v>
      </x:c>
      <x:c r="C20" s="131" t="str">
        <x:v>Depression</x:v>
      </x:c>
      <x:c r="D20" s="131" t="str">
        <x:v>Minggu yang lalu</x:v>
      </x:c>
      <x:c r="E20" s="131" t="str">
        <x:v>https://mits.moh.gov.my/Modules/Patient/public-dass/</x:v>
      </x:c>
    </x:row>
    <x:row r="21">
      <x:c r="A21" s="131" t="n">
        <x:v>17</x:v>
      </x:c>
      <x:c r="B21" s="132" t="str">
        <x:v>Saya rasa tidak begitu berharga sebagai seorang individu.</x:v>
      </x:c>
      <x:c r="C21" s="131" t="str">
        <x:v>Depression</x:v>
      </x:c>
      <x:c r="D21" s="131" t="str">
        <x:v>Minggu yang lalu</x:v>
      </x:c>
      <x:c r="E21" s="131" t="str">
        <x:v>https://mits.moh.gov.my/Modules/Patient/public-dass/</x:v>
      </x:c>
    </x:row>
    <x:row r="22">
      <x:c r="A22" s="131" t="n">
        <x:v>18</x:v>
      </x:c>
      <x:c r="B22" s="132" t="str">
        <x:v>Saya rasa saya mudah tersentuh.</x:v>
      </x:c>
      <x:c r="C22" s="131" t="str">
        <x:v>Stress</x:v>
      </x:c>
      <x:c r="D22" s="131" t="str">
        <x:v>Minggu yang lalu</x:v>
      </x:c>
      <x:c r="E22" s="131" t="str">
        <x:v>https://mits.moh.gov.my/Modules/Patient/public-dass/</x:v>
      </x:c>
    </x:row>
    <x:row r="23">
      <x:c r="A23" s="131" t="n">
        <x:v>19</x:v>
      </x:c>
      <x:c r="B23" s="132" t="str">
        <x:v>Saya sedar tindak balas jantung saya walaupun tidak melakukan aktiviti fizikal (contohnya kadar denyutan jantung bertambah atau berkurangan).</x:v>
      </x:c>
      <x:c r="C23" s="131" t="str">
        <x:v>Anxiety</x:v>
      </x:c>
      <x:c r="D23" s="131" t="str">
        <x:v>Minggu yang lalu</x:v>
      </x:c>
      <x:c r="E23" s="131" t="str">
        <x:v>https://mits.moh.gov.my/Modules/Patient/public-dass/</x:v>
      </x:c>
    </x:row>
    <x:row r="24">
      <x:c r="A24" s="131" t="n">
        <x:v>20</x:v>
      </x:c>
      <x:c r="B24" s="132" t="str">
        <x:v>Saya berasa takut tanpa sebab yang munasabah.</x:v>
      </x:c>
      <x:c r="C24" s="131" t="str">
        <x:v>Anxiety</x:v>
      </x:c>
      <x:c r="D24" s="131" t="str">
        <x:v>Minggu yang lalu</x:v>
      </x:c>
      <x:c r="E24" s="131" t="str">
        <x:v>https://mits.moh.gov.my/Modules/Patient/public-dass/</x:v>
      </x:c>
    </x:row>
    <x:row r="25">
      <x:c r="A25" s="133" t="n">
        <x:v>21</x:v>
      </x:c>
      <x:c r="B25" s="134" t="str">
        <x:v>Saya rasa hidup ini tidak bermakna.</x:v>
      </x:c>
      <x:c r="C25" s="133" t="str">
        <x:v>Depression</x:v>
      </x:c>
      <x:c r="D25" s="133" t="str">
        <x:v>Minggu yang lalu</x:v>
      </x:c>
      <x:c r="E25" s="133" t="str">
        <x:v>https://mits.moh.gov.my/Modules/Patient/public-dass/</x:v>
      </x:c>
    </x:row>
  </x:sheetData>
  <x:mergeCells>
    <x:mergeCell ref="A1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  <x:col min="9" max="9" width="52" hidden="0" customWidth="1"/>
  </x:cols>
  <x:sheetData>
    <x:row r="1" ht="34" customHeight="1">
      <x:c r="A1" s="18" t="str">
        <x:v>Kamus Data · Indikator Trauma TF-CBT-DHT</x:v>
      </x:c>
      <x:c r="B1" s="18" t="str">
        <x:v>Kamus Data · Indikator Trauma TF-CBT-DHT</x:v>
      </x:c>
      <x:c r="C1" s="18" t="str">
        <x:v>Kamus Data · Indikator Trauma TF-CBT-DHT</x:v>
      </x:c>
      <x:c r="D1" s="18" t="str">
        <x:v>Kamus Data · Indikator Trauma TF-CBT-DHT</x:v>
      </x:c>
      <x:c r="E1" s="18" t="str">
        <x:v>Kamus Data · Indikator Trauma TF-CBT-DHT</x:v>
      </x:c>
      <x:c r="F1" s="18" t="str">
        <x:v>Kamus Data · Indikator Trauma TF-CBT-DHT</x:v>
      </x:c>
      <x:c r="G1" s="18" t="str">
        <x:v>Kamus Data · Indikator Trauma TF-CBT-DHT</x:v>
      </x:c>
      <x:c r="H1" s="18" t="str">
        <x:v>Kamus Data · Indikator Trauma TF-CBT-DHT</x:v>
      </x:c>
      <x:c r="I1" s="18" t="str">
        <x:v>Kamus Data · Indikator Trauma TF-CBT-DHT</x:v>
      </x:c>
    </x:row>
    <x:row r="2" ht="34" customHeight="1">
      <x:c r="A2" s="18" t="str">
        <x:v>Kamus Data · Indikator Trauma TF-CBT-DHT</x:v>
      </x:c>
      <x:c r="B2" s="18" t="str">
        <x:v>Kamus Data · Indikator Trauma TF-CBT-DHT</x:v>
      </x:c>
      <x:c r="C2" s="18" t="str">
        <x:v>Kamus Data · Indikator Trauma TF-CBT-DHT</x:v>
      </x:c>
      <x:c r="D2" s="18" t="str">
        <x:v>Kamus Data · Indikator Trauma TF-CBT-DHT</x:v>
      </x:c>
      <x:c r="E2" s="18" t="str">
        <x:v>Kamus Data · Indikator Trauma TF-CBT-DHT</x:v>
      </x:c>
      <x:c r="F2" s="18" t="str">
        <x:v>Kamus Data · Indikator Trauma TF-CBT-DHT</x:v>
      </x:c>
      <x:c r="G2" s="18" t="str">
        <x:v>Kamus Data · Indikator Trauma TF-CBT-DHT</x:v>
      </x:c>
      <x:c r="H2" s="18" t="str">
        <x:v>Kamus Data · Indikator Trauma TF-CBT-DHT</x:v>
      </x:c>
      <x:c r="I2" s="18" t="str">
        <x:v>Kamus Data · Indikator Trauma TF-CBT-DHT</x:v>
      </x:c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</x:row>
    <x:row r="4" ht="38" customHeight="1">
      <x:c r="A4" s="126" t="str">
        <x:v>item_id</x:v>
      </x:c>
      <x:c r="B4" s="127" t="str">
        <x:v>teks_item</x:v>
      </x:c>
      <x:c r="C4" s="127" t="str">
        <x:v>domain_DHT</x:v>
      </x:c>
      <x:c r="D4" s="127" t="str">
        <x:v>tahap_keperluan</x:v>
      </x:c>
      <x:c r="E4" s="127" t="str">
        <x:v>impak_TF-CBT</x:v>
      </x:c>
      <x:c r="F4" s="127" t="str">
        <x:v>kritikal_keselamatan</x:v>
      </x:c>
      <x:c r="G4" s="127" t="str">
        <x:v>peraturan_positif</x:v>
      </x:c>
      <x:c r="H4" s="127" t="str">
        <x:v>status_validasi</x:v>
      </x:c>
      <x:c r="I4" s="128" t="str">
        <x:v>source_urls</x:v>
      </x:c>
    </x:row>
    <x:row r="5" ht="46" customHeight="1">
      <x:c r="A5" s="129" t="str">
        <x:v>TR01</x:v>
      </x:c>
      <x:c r="B5" s="130" t="str">
        <x:v>Saya berasa keselamatan fizikal saya atau orang tanggungan saya terancam pada masa ini.</x:v>
      </x:c>
      <x:c r="C5" s="129" t="str">
        <x:v>Nyawa</x:v>
      </x:c>
      <x:c r="D5" s="129" t="str">
        <x:v>Dharuriyyat</x:v>
      </x:c>
      <x:c r="E5" s="129" t="str">
        <x:v>Keselamatan</x:v>
      </x:c>
      <x:c r="F5" s="129" t="str">
        <x:v>Ya</x:v>
      </x:c>
      <x:c r="G5" s="129" t="str">
        <x:v>Respons &gt;=2 (TR01/TR07: keselamatan &gt;=1)</x:v>
      </x:c>
      <x:c r="H5" s="129" t="str">
        <x:v>Eksploratori; belum divalidasi</x:v>
      </x:c>
      <x:c r="I5" s="130" t="str">
        <x:v>https://doi.org/10.37134/bitara.vol10.7.2017 | https://pmc.ncbi.nlm.nih.gov/articles/PMC4476061/</x:v>
      </x:c>
    </x:row>
    <x:row r="6" ht="46" customHeight="1">
      <x:c r="A6" s="131" t="str">
        <x:v>TR02</x:v>
      </x:c>
      <x:c r="B6" s="132" t="str">
        <x:v>Selepas peristiwa sukar, gangguan tidur, mimpi buruk atau reaksi tubuh mengganggu rutin harian saya.</x:v>
      </x:c>
      <x:c r="C6" s="131" t="str">
        <x:v>Nyawa</x:v>
      </x:c>
      <x:c r="D6" s="131" t="str">
        <x:v>Hajiyyat</x:v>
      </x:c>
      <x:c r="E6" s="131" t="str">
        <x:v>Biologi</x:v>
      </x:c>
      <x:c r="F6" s="131" t="str">
        <x:v>Tidak</x:v>
      </x:c>
      <x:c r="G6" s="131" t="str">
        <x:v>Respons &gt;=2 (TR01/TR07: keselamatan &gt;=1)</x:v>
      </x:c>
      <x:c r="H6" s="131" t="str">
        <x:v>Eksploratori; belum divalidasi</x:v>
      </x:c>
      <x:c r="I6" s="132" t="str">
        <x:v>https://doi.org/10.37134/bitara.vol10.7.2017 | https://pmc.ncbi.nlm.nih.gov/articles/PMC4476061/</x:v>
      </x:c>
    </x:row>
    <x:row r="7" ht="46" customHeight="1">
      <x:c r="A7" s="131" t="str">
        <x:v>TR03</x:v>
      </x:c>
      <x:c r="B7" s="132" t="str">
        <x:v>Saya sukar mengekalkan rutin penjagaan diri dan aktiviti pemulihan yang membantu saya berasa selamat.</x:v>
      </x:c>
      <x:c r="C7" s="131" t="str">
        <x:v>Nyawa</x:v>
      </x:c>
      <x:c r="D7" s="131" t="str">
        <x:v>Tahsiniyyat</x:v>
      </x:c>
      <x:c r="E7" s="131" t="str">
        <x:v>Penjagaan diri</x:v>
      </x:c>
      <x:c r="F7" s="131" t="str">
        <x:v>Tidak</x:v>
      </x:c>
      <x:c r="G7" s="131" t="str">
        <x:v>Respons &gt;=2 (TR01/TR07: keselamatan &gt;=1)</x:v>
      </x:c>
      <x:c r="H7" s="131" t="str">
        <x:v>Eksploratori; belum divalidasi</x:v>
      </x:c>
      <x:c r="I7" s="132" t="str">
        <x:v>https://doi.org/10.37134/bitara.vol10.7.2017 | https://pmc.ncbi.nlm.nih.gov/articles/PMC4476061/</x:v>
      </x:c>
    </x:row>
    <x:row r="8" ht="46" customHeight="1">
      <x:c r="A8" s="131" t="str">
        <x:v>TR04</x:v>
      </x:c>
      <x:c r="B8" s="132" t="str">
        <x:v>Ingatan, bayangan atau perasaan seolah-olah peristiwa sukar berulang datang tanpa saya mahu dan sukar dikawal.</x:v>
      </x:c>
      <x:c r="C8" s="131" t="str">
        <x:v>Akal</x:v>
      </x:c>
      <x:c r="D8" s="131" t="str">
        <x:v>Dharuriyyat</x:v>
      </x:c>
      <x:c r="E8" s="131" t="str">
        <x:v>Kognitif/persepsi</x:v>
      </x:c>
      <x:c r="F8" s="131" t="str">
        <x:v>Tidak</x:v>
      </x:c>
      <x:c r="G8" s="131" t="str">
        <x:v>Respons &gt;=2 (TR01/TR07: keselamatan &gt;=1)</x:v>
      </x:c>
      <x:c r="H8" s="131" t="str">
        <x:v>Eksploratori; belum divalidasi</x:v>
      </x:c>
      <x:c r="I8" s="132" t="str">
        <x:v>https://doi.org/10.37134/bitara.vol10.7.2017 | https://pmc.ncbi.nlm.nih.gov/articles/PMC4476061/</x:v>
      </x:c>
    </x:row>
    <x:row r="9" ht="46" customHeight="1">
      <x:c r="A9" s="131" t="str">
        <x:v>TR05</x:v>
      </x:c>
      <x:c r="B9" s="132" t="str">
        <x:v>Saya sukar menumpukan perhatian, belajar atau membuat keputusan selepas peristiwa sukar.</x:v>
      </x:c>
      <x:c r="C9" s="131" t="str">
        <x:v>Akal</x:v>
      </x:c>
      <x:c r="D9" s="131" t="str">
        <x:v>Hajiyyat</x:v>
      </x:c>
      <x:c r="E9" s="131" t="str">
        <x:v>Kognitif/pembelajaran</x:v>
      </x:c>
      <x:c r="F9" s="131" t="str">
        <x:v>Tidak</x:v>
      </x:c>
      <x:c r="G9" s="131" t="str">
        <x:v>Respons &gt;=2 (TR01/TR07: keselamatan &gt;=1)</x:v>
      </x:c>
      <x:c r="H9" s="131" t="str">
        <x:v>Eksploratori; belum divalidasi</x:v>
      </x:c>
      <x:c r="I9" s="132" t="str">
        <x:v>https://doi.org/10.37134/bitara.vol10.7.2017 | https://pmc.ncbi.nlm.nih.gov/articles/PMC4476061/</x:v>
      </x:c>
    </x:row>
    <x:row r="10" ht="46" customHeight="1">
      <x:c r="A10" s="131" t="str">
        <x:v>TR06</x:v>
      </x:c>
      <x:c r="B10" s="132" t="str">
        <x:v>Saya sukar menikmati aktiviti bermakna atau aktiviti yang biasanya menenangkan fikiran saya.</x:v>
      </x:c>
      <x:c r="C10" s="131" t="str">
        <x:v>Akal</x:v>
      </x:c>
      <x:c r="D10" s="131" t="str">
        <x:v>Tahsiniyyat</x:v>
      </x:c>
      <x:c r="E10" s="131" t="str">
        <x:v>Afektif</x:v>
      </x:c>
      <x:c r="F10" s="131" t="str">
        <x:v>Tidak</x:v>
      </x:c>
      <x:c r="G10" s="131" t="str">
        <x:v>Respons &gt;=2 (TR01/TR07: keselamatan &gt;=1)</x:v>
      </x:c>
      <x:c r="H10" s="131" t="str">
        <x:v>Eksploratori; belum divalidasi</x:v>
      </x:c>
      <x:c r="I10" s="132" t="str">
        <x:v>https://doi.org/10.37134/bitara.vol10.7.2017 | https://pmc.ncbi.nlm.nih.gov/articles/PMC4476061/</x:v>
      </x:c>
    </x:row>
    <x:row r="11" ht="46" customHeight="1">
      <x:c r="A11" s="131" t="str">
        <x:v>TR07</x:v>
      </x:c>
      <x:c r="B11" s="132" t="str">
        <x:v>Hubungan dengan keluarga, penjaga atau individu rapat menjadi sumber ancaman atau ketakutan pada masa ini.</x:v>
      </x:c>
      <x:c r="C11" s="131" t="str">
        <x:v>Keturunan</x:v>
      </x:c>
      <x:c r="D11" s="131" t="str">
        <x:v>Dharuriyyat</x:v>
      </x:c>
      <x:c r="E11" s="131" t="str">
        <x:v>Keselamatan sosial/keluarga</x:v>
      </x:c>
      <x:c r="F11" s="131" t="str">
        <x:v>Ya</x:v>
      </x:c>
      <x:c r="G11" s="131" t="str">
        <x:v>Respons &gt;=2 (TR01/TR07: keselamatan &gt;=1)</x:v>
      </x:c>
      <x:c r="H11" s="131" t="str">
        <x:v>Eksploratori; belum divalidasi</x:v>
      </x:c>
      <x:c r="I11" s="132" t="str">
        <x:v>https://doi.org/10.37134/bitara.vol10.7.2017 | https://pmc.ncbi.nlm.nih.gov/articles/PMC4476061/</x:v>
      </x:c>
    </x:row>
    <x:row r="12" ht="46" customHeight="1">
      <x:c r="A12" s="131" t="str">
        <x:v>TR08</x:v>
      </x:c>
      <x:c r="B12" s="132" t="str">
        <x:v>Saya berasa terasing atau kehilangan sokongan daripada keluarga atau rakan yang saya percayai.</x:v>
      </x:c>
      <x:c r="C12" s="131" t="str">
        <x:v>Keturunan</x:v>
      </x:c>
      <x:c r="D12" s="131" t="str">
        <x:v>Hajiyyat</x:v>
      </x:c>
      <x:c r="E12" s="131" t="str">
        <x:v>Sosial/sokongan</x:v>
      </x:c>
      <x:c r="F12" s="131" t="str">
        <x:v>Tidak</x:v>
      </x:c>
      <x:c r="G12" s="131" t="str">
        <x:v>Respons &gt;=2 (TR01/TR07: keselamatan &gt;=1)</x:v>
      </x:c>
      <x:c r="H12" s="131" t="str">
        <x:v>Eksploratori; belum divalidasi</x:v>
      </x:c>
      <x:c r="I12" s="132" t="str">
        <x:v>https://doi.org/10.37134/bitara.vol10.7.2017 | https://pmc.ncbi.nlm.nih.gov/articles/PMC4476061/</x:v>
      </x:c>
    </x:row>
    <x:row r="13" ht="46" customHeight="1">
      <x:c r="A13" s="131" t="str">
        <x:v>TR09</x:v>
      </x:c>
      <x:c r="B13" s="132" t="str">
        <x:v>Saya sukar mengambil bahagian dalam hubungan atau aktiviti komuniti yang biasanya menguatkan rasa dimiliki.</x:v>
      </x:c>
      <x:c r="C13" s="131" t="str">
        <x:v>Keturunan</x:v>
      </x:c>
      <x:c r="D13" s="131" t="str">
        <x:v>Tahsiniyyat</x:v>
      </x:c>
      <x:c r="E13" s="131" t="str">
        <x:v>Sosial/komuniti</x:v>
      </x:c>
      <x:c r="F13" s="131" t="str">
        <x:v>Tidak</x:v>
      </x:c>
      <x:c r="G13" s="131" t="str">
        <x:v>Respons &gt;=2 (TR01/TR07: keselamatan &gt;=1)</x:v>
      </x:c>
      <x:c r="H13" s="131" t="str">
        <x:v>Eksploratori; belum divalidasi</x:v>
      </x:c>
      <x:c r="I13" s="132" t="str">
        <x:v>https://doi.org/10.37134/bitara.vol10.7.2017 | https://pmc.ncbi.nlm.nih.gov/articles/PMC4476061/</x:v>
      </x:c>
    </x:row>
    <x:row r="14" ht="46" customHeight="1">
      <x:c r="A14" s="131" t="str">
        <x:v>TR10</x:v>
      </x:c>
      <x:c r="B14" s="132" t="str">
        <x:v>Peristiwa sukar menyebabkan saya kehilangan atau berisiko kehilangan tempat tinggal, makanan atau keperluan asas.</x:v>
      </x:c>
      <x:c r="C14" s="131" t="str">
        <x:v>Harta</x:v>
      </x:c>
      <x:c r="D14" s="131" t="str">
        <x:v>Dharuriyyat</x:v>
      </x:c>
      <x:c r="E14" s="131" t="str">
        <x:v>Keperluan asas</x:v>
      </x:c>
      <x:c r="F14" s="131" t="str">
        <x:v>Tidak</x:v>
      </x:c>
      <x:c r="G14" s="131" t="str">
        <x:v>Respons &gt;=2 (TR01/TR07: keselamatan &gt;=1)</x:v>
      </x:c>
      <x:c r="H14" s="131" t="str">
        <x:v>Eksploratori; belum divalidasi</x:v>
      </x:c>
      <x:c r="I14" s="132" t="str">
        <x:v>https://doi.org/10.37134/bitara.vol10.7.2017 | https://pmc.ncbi.nlm.nih.gov/articles/PMC4476061/</x:v>
      </x:c>
    </x:row>
    <x:row r="15" ht="46" customHeight="1">
      <x:c r="A15" s="131" t="str">
        <x:v>TR11</x:v>
      </x:c>
      <x:c r="B15" s="132" t="str">
        <x:v>Masalah kewangan, pengangkutan atau akses peranti/bahan belajar mengganggu pembelajaran atau pemulihan saya.</x:v>
      </x:c>
      <x:c r="C15" s="131" t="str">
        <x:v>Harta</x:v>
      </x:c>
      <x:c r="D15" s="131" t="str">
        <x:v>Hajiyyat</x:v>
      </x:c>
      <x:c r="E15" s="131" t="str">
        <x:v>Fungsi/pembelajaran</x:v>
      </x:c>
      <x:c r="F15" s="131" t="str">
        <x:v>Tidak</x:v>
      </x:c>
      <x:c r="G15" s="131" t="str">
        <x:v>Respons &gt;=2 (TR01/TR07: keselamatan &gt;=1)</x:v>
      </x:c>
      <x:c r="H15" s="131" t="str">
        <x:v>Eksploratori; belum divalidasi</x:v>
      </x:c>
      <x:c r="I15" s="132" t="str">
        <x:v>https://doi.org/10.37134/bitara.vol10.7.2017 | https://pmc.ncbi.nlm.nih.gov/articles/PMC4476061/</x:v>
      </x:c>
    </x:row>
    <x:row r="16" ht="46" customHeight="1">
      <x:c r="A16" s="131" t="str">
        <x:v>TR12</x:v>
      </x:c>
      <x:c r="B16" s="132" t="str">
        <x:v>Kehilangan atau kerosakan barang/sumber peribadi menjejaskan keselesaan dan kualiti hidup saya.</x:v>
      </x:c>
      <x:c r="C16" s="131" t="str">
        <x:v>Harta</x:v>
      </x:c>
      <x:c r="D16" s="131" t="str">
        <x:v>Tahsiniyyat</x:v>
      </x:c>
      <x:c r="E16" s="131" t="str">
        <x:v>Kualiti hidup</x:v>
      </x:c>
      <x:c r="F16" s="131" t="str">
        <x:v>Tidak</x:v>
      </x:c>
      <x:c r="G16" s="131" t="str">
        <x:v>Respons &gt;=2 (TR01/TR07: keselamatan &gt;=1)</x:v>
      </x:c>
      <x:c r="H16" s="131" t="str">
        <x:v>Eksploratori; belum divalidasi</x:v>
      </x:c>
      <x:c r="I16" s="132" t="str">
        <x:v>https://doi.org/10.37134/bitara.vol10.7.2017 | https://pmc.ncbi.nlm.nih.gov/articles/PMC4476061/</x:v>
      </x:c>
    </x:row>
    <x:row r="17" ht="46" customHeight="1">
      <x:c r="A17" s="131" t="str">
        <x:v>TR13</x:v>
      </x:c>
      <x:c r="B17" s="132" t="str">
        <x:v>Peristiwa sukar menjejaskan kemampuan saya melaksanakan kewajipan agama atau spiritual yang penting bagi saya.</x:v>
      </x:c>
      <x:c r="C17" s="131" t="str">
        <x:v>Agama</x:v>
      </x:c>
      <x:c r="D17" s="131" t="str">
        <x:v>Dharuriyyat</x:v>
      </x:c>
      <x:c r="E17" s="131" t="str">
        <x:v>Kerohanian/pegangan</x:v>
      </x:c>
      <x:c r="F17" s="131" t="str">
        <x:v>Tidak</x:v>
      </x:c>
      <x:c r="G17" s="131" t="str">
        <x:v>Respons &gt;=2 (TR01/TR07: keselamatan &gt;=1)</x:v>
      </x:c>
      <x:c r="H17" s="131" t="str">
        <x:v>Eksploratori; belum divalidasi</x:v>
      </x:c>
      <x:c r="I17" s="132" t="str">
        <x:v>https://doi.org/10.37134/bitara.vol10.7.2017 | https://pmc.ncbi.nlm.nih.gov/articles/PMC4476061/</x:v>
      </x:c>
    </x:row>
    <x:row r="18" ht="46" customHeight="1">
      <x:c r="A18" s="131" t="str">
        <x:v>TR14</x:v>
      </x:c>
      <x:c r="B18" s="132" t="str">
        <x:v>Saya kehilangan akses kepada sokongan agama/spiritual yang selamat dan tidak menghakimi apabila saya memerlukannya.</x:v>
      </x:c>
      <x:c r="C18" s="131" t="str">
        <x:v>Agama</x:v>
      </x:c>
      <x:c r="D18" s="131" t="str">
        <x:v>Hajiyyat</x:v>
      </x:c>
      <x:c r="E18" s="131" t="str">
        <x:v>Sokongan kerohanian</x:v>
      </x:c>
      <x:c r="F18" s="131" t="str">
        <x:v>Tidak</x:v>
      </x:c>
      <x:c r="G18" s="131" t="str">
        <x:v>Respons &gt;=2 (TR01/TR07: keselamatan &gt;=1)</x:v>
      </x:c>
      <x:c r="H18" s="131" t="str">
        <x:v>Eksploratori; belum divalidasi</x:v>
      </x:c>
      <x:c r="I18" s="132" t="str">
        <x:v>https://doi.org/10.37134/bitara.vol10.7.2017 | https://pmc.ncbi.nlm.nih.gov/articles/PMC4476061/</x:v>
      </x:c>
    </x:row>
    <x:row r="19" ht="46" customHeight="1">
      <x:c r="A19" s="133" t="str">
        <x:v>TR15</x:v>
      </x:c>
      <x:c r="B19" s="134" t="str">
        <x:v>Saya sukar menyertai rutin atau komuniti agama/spiritual yang biasanya memberi ketenangan dan makna.</x:v>
      </x:c>
      <x:c r="C19" s="133" t="str">
        <x:v>Agama</x:v>
      </x:c>
      <x:c r="D19" s="133" t="str">
        <x:v>Tahsiniyyat</x:v>
      </x:c>
      <x:c r="E19" s="133" t="str">
        <x:v>Komuniti/kerohanian</x:v>
      </x:c>
      <x:c r="F19" s="133" t="str">
        <x:v>Tidak</x:v>
      </x:c>
      <x:c r="G19" s="133" t="str">
        <x:v>Respons &gt;=2 (TR01/TR07: keselamatan &gt;=1)</x:v>
      </x:c>
      <x:c r="H19" s="133" t="str">
        <x:v>Eksploratori; belum divalidasi</x:v>
      </x:c>
      <x:c r="I19" s="134" t="str">
        <x:v>https://doi.org/10.37134/bitara.vol10.7.2017 | https://pmc.ncbi.nlm.nih.gov/articles/PMC4476061/</x:v>
      </x:c>
    </x:row>
  </x:sheetData>
  <x:mergeCells>
    <x:mergeCell ref="A1:I2"/>
  </x:mergeCells>
  <x:conditionalFormatting sqref="F5:F19">
    <x:cfRule type="containsText" dxfId="0" priority="1" operator="containsText" text="Ya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2" hidden="0" customWidth="1"/>
    <x:col min="5" max="5" width="38" hidden="0" customWidth="1"/>
  </x:cols>
  <x:sheetData>
    <x:row r="1" ht="34" customHeight="1">
      <x:c r="A1" s="18" t="str">
        <x:v>Ambang Kategori DASS-21</x:v>
      </x:c>
      <x:c r="B1" s="18" t="str">
        <x:v>Ambang Kategori DASS-21</x:v>
      </x:c>
      <x:c r="C1" s="18" t="str">
        <x:v>Ambang Kategori DASS-21</x:v>
      </x:c>
      <x:c r="D1" s="18" t="str">
        <x:v>Ambang Kategori DASS-21</x:v>
      </x:c>
      <x:c r="E1" s="18" t="str">
        <x:v>Ambang Kategori DASS-21</x:v>
      </x:c>
    </x:row>
    <x:row r="2" ht="34" customHeight="1">
      <x:c r="A2" s="18" t="str">
        <x:v>Ambang Kategori DASS-21</x:v>
      </x:c>
      <x:c r="B2" s="18" t="str">
        <x:v>Ambang Kategori DASS-21</x:v>
      </x:c>
      <x:c r="C2" s="18" t="str">
        <x:v>Ambang Kategori DASS-21</x:v>
      </x:c>
      <x:c r="D2" s="18" t="str">
        <x:v>Ambang Kategori DASS-21</x:v>
      </x:c>
      <x:c r="E2" s="18" t="str">
        <x:v>Ambang Kategori DASS-21</x:v>
      </x:c>
    </x:row>
    <x:row r="3">
      <x:c r="A3" s="19"/>
      <x:c r="B3" s="19"/>
      <x:c r="C3" s="19"/>
      <x:c r="D3" s="19"/>
      <x:c r="E3" s="19"/>
    </x:row>
    <x:row r="4" ht="38" customHeight="1">
      <x:c r="A4" s="126" t="str">
        <x:v>subskala</x:v>
      </x:c>
      <x:c r="B4" s="127" t="str">
        <x:v>tahap</x:v>
      </x:c>
      <x:c r="C4" s="127" t="str">
        <x:v>minimum</x:v>
      </x:c>
      <x:c r="D4" s="127" t="str">
        <x:v>maximum</x:v>
      </x:c>
      <x:c r="E4" s="128" t="str">
        <x:v>nota</x:v>
      </x:c>
    </x:row>
    <x:row r="5">
      <x:c r="A5" s="135" t="str">
        <x:v>Depression</x:v>
      </x:c>
      <x:c r="B5" s="135" t="str">
        <x:v>Normal</x:v>
      </x:c>
      <x:c r="C5" s="136" t="n">
        <x:v>0</x:v>
      </x:c>
      <x:c r="D5" s="136" t="n">
        <x:v>9</x:v>
      </x:c>
      <x:c r="E5" s="135" t="str">
        <x:v>Skor DASS-21 selepas didarab 2</x:v>
      </x:c>
    </x:row>
    <x:row r="6">
      <x:c r="A6" s="137" t="str">
        <x:v>Depression</x:v>
      </x:c>
      <x:c r="B6" s="137" t="str">
        <x:v>Ringan</x:v>
      </x:c>
      <x:c r="C6" s="138" t="n">
        <x:v>10</x:v>
      </x:c>
      <x:c r="D6" s="138" t="n">
        <x:v>13</x:v>
      </x:c>
      <x:c r="E6" s="137" t="str">
        <x:v>Skor DASS-21 selepas didarab 2</x:v>
      </x:c>
    </x:row>
    <x:row r="7">
      <x:c r="A7" s="137" t="str">
        <x:v>Depression</x:v>
      </x:c>
      <x:c r="B7" s="137" t="str">
        <x:v>Sederhana</x:v>
      </x:c>
      <x:c r="C7" s="138" t="n">
        <x:v>14</x:v>
      </x:c>
      <x:c r="D7" s="138" t="n">
        <x:v>20</x:v>
      </x:c>
      <x:c r="E7" s="137" t="str">
        <x:v>Skor DASS-21 selepas didarab 2</x:v>
      </x:c>
    </x:row>
    <x:row r="8">
      <x:c r="A8" s="137" t="str">
        <x:v>Depression</x:v>
      </x:c>
      <x:c r="B8" s="137" t="str">
        <x:v>Teruk</x:v>
      </x:c>
      <x:c r="C8" s="138" t="n">
        <x:v>21</x:v>
      </x:c>
      <x:c r="D8" s="138" t="n">
        <x:v>27</x:v>
      </x:c>
      <x:c r="E8" s="137" t="str">
        <x:v>Skor DASS-21 selepas didarab 2</x:v>
      </x:c>
    </x:row>
    <x:row r="9">
      <x:c r="A9" s="137" t="str">
        <x:v>Depression</x:v>
      </x:c>
      <x:c r="B9" s="137" t="str">
        <x:v>Sangat Teruk</x:v>
      </x:c>
      <x:c r="C9" s="138" t="n">
        <x:v>28</x:v>
      </x:c>
      <x:c r="D9" s="138" t="n">
        <x:v>42</x:v>
      </x:c>
      <x:c r="E9" s="137" t="str">
        <x:v>Skor DASS-21 selepas didarab 2</x:v>
      </x:c>
    </x:row>
    <x:row r="10">
      <x:c r="A10" s="137" t="str">
        <x:v>Anxiety</x:v>
      </x:c>
      <x:c r="B10" s="137" t="str">
        <x:v>Normal</x:v>
      </x:c>
      <x:c r="C10" s="138" t="n">
        <x:v>0</x:v>
      </x:c>
      <x:c r="D10" s="138" t="n">
        <x:v>7</x:v>
      </x:c>
      <x:c r="E10" s="137" t="str">
        <x:v>Skor DASS-21 selepas didarab 2</x:v>
      </x:c>
    </x:row>
    <x:row r="11">
      <x:c r="A11" s="137" t="str">
        <x:v>Anxiety</x:v>
      </x:c>
      <x:c r="B11" s="137" t="str">
        <x:v>Ringan</x:v>
      </x:c>
      <x:c r="C11" s="138" t="n">
        <x:v>8</x:v>
      </x:c>
      <x:c r="D11" s="138" t="n">
        <x:v>9</x:v>
      </x:c>
      <x:c r="E11" s="137" t="str">
        <x:v>Skor DASS-21 selepas didarab 2</x:v>
      </x:c>
    </x:row>
    <x:row r="12">
      <x:c r="A12" s="137" t="str">
        <x:v>Anxiety</x:v>
      </x:c>
      <x:c r="B12" s="137" t="str">
        <x:v>Sederhana</x:v>
      </x:c>
      <x:c r="C12" s="138" t="n">
        <x:v>10</x:v>
      </x:c>
      <x:c r="D12" s="138" t="n">
        <x:v>14</x:v>
      </x:c>
      <x:c r="E12" s="137" t="str">
        <x:v>Skor DASS-21 selepas didarab 2</x:v>
      </x:c>
    </x:row>
    <x:row r="13">
      <x:c r="A13" s="137" t="str">
        <x:v>Anxiety</x:v>
      </x:c>
      <x:c r="B13" s="137" t="str">
        <x:v>Teruk</x:v>
      </x:c>
      <x:c r="C13" s="138" t="n">
        <x:v>15</x:v>
      </x:c>
      <x:c r="D13" s="138" t="n">
        <x:v>19</x:v>
      </x:c>
      <x:c r="E13" s="137" t="str">
        <x:v>Skor DASS-21 selepas didarab 2</x:v>
      </x:c>
    </x:row>
    <x:row r="14">
      <x:c r="A14" s="137" t="str">
        <x:v>Anxiety</x:v>
      </x:c>
      <x:c r="B14" s="137" t="str">
        <x:v>Sangat Teruk</x:v>
      </x:c>
      <x:c r="C14" s="138" t="n">
        <x:v>20</x:v>
      </x:c>
      <x:c r="D14" s="138" t="n">
        <x:v>42</x:v>
      </x:c>
      <x:c r="E14" s="137" t="str">
        <x:v>Skor DASS-21 selepas didarab 2</x:v>
      </x:c>
    </x:row>
    <x:row r="15">
      <x:c r="A15" s="137" t="str">
        <x:v>Stress</x:v>
      </x:c>
      <x:c r="B15" s="137" t="str">
        <x:v>Normal</x:v>
      </x:c>
      <x:c r="C15" s="138" t="n">
        <x:v>0</x:v>
      </x:c>
      <x:c r="D15" s="138" t="n">
        <x:v>14</x:v>
      </x:c>
      <x:c r="E15" s="137" t="str">
        <x:v>Skor DASS-21 selepas didarab 2</x:v>
      </x:c>
    </x:row>
    <x:row r="16">
      <x:c r="A16" s="137" t="str">
        <x:v>Stress</x:v>
      </x:c>
      <x:c r="B16" s="137" t="str">
        <x:v>Ringan</x:v>
      </x:c>
      <x:c r="C16" s="138" t="n">
        <x:v>15</x:v>
      </x:c>
      <x:c r="D16" s="138" t="n">
        <x:v>18</x:v>
      </x:c>
      <x:c r="E16" s="137" t="str">
        <x:v>Skor DASS-21 selepas didarab 2</x:v>
      </x:c>
    </x:row>
    <x:row r="17">
      <x:c r="A17" s="137" t="str">
        <x:v>Stress</x:v>
      </x:c>
      <x:c r="B17" s="137" t="str">
        <x:v>Sederhana</x:v>
      </x:c>
      <x:c r="C17" s="138" t="n">
        <x:v>19</x:v>
      </x:c>
      <x:c r="D17" s="138" t="n">
        <x:v>25</x:v>
      </x:c>
      <x:c r="E17" s="137" t="str">
        <x:v>Skor DASS-21 selepas didarab 2</x:v>
      </x:c>
    </x:row>
    <x:row r="18">
      <x:c r="A18" s="137" t="str">
        <x:v>Stress</x:v>
      </x:c>
      <x:c r="B18" s="137" t="str">
        <x:v>Teruk</x:v>
      </x:c>
      <x:c r="C18" s="138" t="n">
        <x:v>26</x:v>
      </x:c>
      <x:c r="D18" s="138" t="n">
        <x:v>33</x:v>
      </x:c>
      <x:c r="E18" s="137" t="str">
        <x:v>Skor DASS-21 selepas didarab 2</x:v>
      </x:c>
    </x:row>
    <x:row r="19">
      <x:c r="A19" s="139" t="str">
        <x:v>Stress</x:v>
      </x:c>
      <x:c r="B19" s="139" t="str">
        <x:v>Sangat Teruk</x:v>
      </x:c>
      <x:c r="C19" s="140" t="n">
        <x:v>34</x:v>
      </x:c>
      <x:c r="D19" s="140" t="n">
        <x:v>42</x:v>
      </x:c>
      <x:c r="E19" s="139" t="str">
        <x:v>Skor DASS-21 selepas didarab 2</x:v>
      </x:c>
    </x:row>
  </x:sheetData>
  <x:mergeCells>
    <x:mergeCell ref="A1:E2"/>
  </x:mergeCells>
  <x:conditionalFormatting sqref="B5:B19">
    <x:cfRule type="containsText" dxfId="1" priority="1" operator="containsText" text="Sangat Teruk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</x:cols>
  <x:sheetData>
    <x:row r="1" ht="34" customHeight="1">
      <x:c r="A1" s="18" t="str">
        <x:v>Kalkulator Audit Pemarkahan DASS-21</x:v>
      </x:c>
      <x:c r="B1" s="18" t="str">
        <x:v>Kalkulator Audit Pemarkahan DASS-21</x:v>
      </x:c>
      <x:c r="C1" s="18" t="str">
        <x:v>Kalkulator Audit Pemarkahan DASS-21</x:v>
      </x:c>
      <x:c r="D1" s="18" t="str">
        <x:v>Kalkulator Audit Pemarkahan DASS-21</x:v>
      </x:c>
      <x:c r="E1" s="18" t="str">
        <x:v>Kalkulator Audit Pemarkahan DASS-21</x:v>
      </x:c>
      <x:c r="F1" s="18" t="str">
        <x:v>Kalkulator Audit Pemarkahan DASS-21</x:v>
      </x:c>
      <x:c r="G1" s="18" t="str">
        <x:v>Kalkulator Audit Pemarkahan DASS-21</x:v>
      </x:c>
      <x:c r="H1" s="18" t="str">
        <x:v>Kalkulator Audit Pemarkahan DASS-21</x:v>
      </x:c>
      <x:c r="I1" s="18" t="str">
        <x:v>Kalkulator Audit Pemarkahan DASS-21</x:v>
      </x:c>
      <x:c r="J1" s="18" t="str">
        <x:v>Kalkulator Audit Pemarkahan DASS-21</x:v>
      </x:c>
      <x:c r="K1" s="18" t="str">
        <x:v>Kalkulator Audit Pemarkahan DASS-21</x:v>
      </x:c>
      <x:c r="L1" s="18" t="str">
        <x:v>Kalkulator Audit Pemarkahan DASS-21</x:v>
      </x:c>
      <x:c r="M1" s="18" t="str">
        <x:v>Kalkulator Audit Pemarkahan DASS-21</x:v>
      </x:c>
      <x:c r="N1" s="18" t="str">
        <x:v>Kalkulator Audit Pemarkahan DASS-21</x:v>
      </x:c>
      <x:c r="O1" s="18" t="str">
        <x:v>Kalkulator Audit Pemarkahan DASS-21</x:v>
      </x:c>
      <x:c r="P1" s="18" t="str">
        <x:v>Kalkulator Audit Pemarkahan DASS-21</x:v>
      </x:c>
      <x:c r="Q1" s="18" t="str">
        <x:v>Kalkulator Audit Pemarkahan DASS-21</x:v>
      </x:c>
      <x:c r="R1" s="18" t="str">
        <x:v>Kalkulator Audit Pemarkahan DASS-21</x:v>
      </x:c>
      <x:c r="S1" s="18" t="str">
        <x:v>Kalkulator Audit Pemarkahan DASS-21</x:v>
      </x:c>
      <x:c r="T1" s="18" t="str">
        <x:v>Kalkulator Audit Pemarkahan DASS-21</x:v>
      </x:c>
      <x:c r="U1" s="18" t="str">
        <x:v>Kalkulator Audit Pemarkahan DASS-21</x:v>
      </x:c>
      <x:c r="V1" s="18" t="str">
        <x:v>Kalkulator Audit Pemarkahan DASS-21</x:v>
      </x:c>
      <x:c r="W1" s="18" t="str">
        <x:v>Kalkulator Audit Pemarkahan DASS-21</x:v>
      </x:c>
      <x:c r="X1" s="18" t="str">
        <x:v>Kalkulator Audit Pemarkahan DASS-21</x:v>
      </x:c>
      <x:c r="Y1" s="18" t="str">
        <x:v>Kalkulator Audit Pemarkahan DASS-21</x:v>
      </x:c>
      <x:c r="Z1" s="18" t="str">
        <x:v>Kalkulator Audit Pemarkahan DASS-21</x:v>
      </x:c>
      <x:c r="AA1" s="18" t="str">
        <x:v>Kalkulator Audit Pemarkahan DASS-21</x:v>
      </x:c>
      <x:c r="AB1" s="18" t="str">
        <x:v>Kalkulator Audit Pemarkahan DASS-21</x:v>
      </x:c>
      <x:c r="AC1" s="18" t="str">
        <x:v>Kalkulator Audit Pemarkahan DASS-21</x:v>
      </x:c>
      <x:c r="AD1" s="18" t="str">
        <x:v>Kalkulator Audit Pemarkahan DASS-21</x:v>
      </x:c>
      <x:c r="AE1" s="18" t="str">
        <x:v>Kalkulator Audit Pemarkahan DASS-21</x:v>
      </x:c>
    </x:row>
    <x:row r="2" ht="34" customHeight="1">
      <x:c r="A2" s="18" t="str">
        <x:v>Kalkulator Audit Pemarkahan DASS-21</x:v>
      </x:c>
      <x:c r="B2" s="18" t="str">
        <x:v>Kalkulator Audit Pemarkahan DASS-21</x:v>
      </x:c>
      <x:c r="C2" s="18" t="str">
        <x:v>Kalkulator Audit Pemarkahan DASS-21</x:v>
      </x:c>
      <x:c r="D2" s="18" t="str">
        <x:v>Kalkulator Audit Pemarkahan DASS-21</x:v>
      </x:c>
      <x:c r="E2" s="18" t="str">
        <x:v>Kalkulator Audit Pemarkahan DASS-21</x:v>
      </x:c>
      <x:c r="F2" s="18" t="str">
        <x:v>Kalkulator Audit Pemarkahan DASS-21</x:v>
      </x:c>
      <x:c r="G2" s="18" t="str">
        <x:v>Kalkulator Audit Pemarkahan DASS-21</x:v>
      </x:c>
      <x:c r="H2" s="18" t="str">
        <x:v>Kalkulator Audit Pemarkahan DASS-21</x:v>
      </x:c>
      <x:c r="I2" s="18" t="str">
        <x:v>Kalkulator Audit Pemarkahan DASS-21</x:v>
      </x:c>
      <x:c r="J2" s="18" t="str">
        <x:v>Kalkulator Audit Pemarkahan DASS-21</x:v>
      </x:c>
      <x:c r="K2" s="18" t="str">
        <x:v>Kalkulator Audit Pemarkahan DASS-21</x:v>
      </x:c>
      <x:c r="L2" s="18" t="str">
        <x:v>Kalkulator Audit Pemarkahan DASS-21</x:v>
      </x:c>
      <x:c r="M2" s="18" t="str">
        <x:v>Kalkulator Audit Pemarkahan DASS-21</x:v>
      </x:c>
      <x:c r="N2" s="18" t="str">
        <x:v>Kalkulator Audit Pemarkahan DASS-21</x:v>
      </x:c>
      <x:c r="O2" s="18" t="str">
        <x:v>Kalkulator Audit Pemarkahan DASS-21</x:v>
      </x:c>
      <x:c r="P2" s="18" t="str">
        <x:v>Kalkulator Audit Pemarkahan DASS-21</x:v>
      </x:c>
      <x:c r="Q2" s="18" t="str">
        <x:v>Kalkulator Audit Pemarkahan DASS-21</x:v>
      </x:c>
      <x:c r="R2" s="18" t="str">
        <x:v>Kalkulator Audit Pemarkahan DASS-21</x:v>
      </x:c>
      <x:c r="S2" s="18" t="str">
        <x:v>Kalkulator Audit Pemarkahan DASS-21</x:v>
      </x:c>
      <x:c r="T2" s="18" t="str">
        <x:v>Kalkulator Audit Pemarkahan DASS-21</x:v>
      </x:c>
      <x:c r="U2" s="18" t="str">
        <x:v>Kalkulator Audit Pemarkahan DASS-21</x:v>
      </x:c>
      <x:c r="V2" s="18" t="str">
        <x:v>Kalkulator Audit Pemarkahan DASS-21</x:v>
      </x:c>
      <x:c r="W2" s="18" t="str">
        <x:v>Kalkulator Audit Pemarkahan DASS-21</x:v>
      </x:c>
      <x:c r="X2" s="18" t="str">
        <x:v>Kalkulator Audit Pemarkahan DASS-21</x:v>
      </x:c>
      <x:c r="Y2" s="18" t="str">
        <x:v>Kalkulator Audit Pemarkahan DASS-21</x:v>
      </x:c>
      <x:c r="Z2" s="18" t="str">
        <x:v>Kalkulator Audit Pemarkahan DASS-21</x:v>
      </x:c>
      <x:c r="AA2" s="18" t="str">
        <x:v>Kalkulator Audit Pemarkahan DASS-21</x:v>
      </x:c>
      <x:c r="AB2" s="18" t="str">
        <x:v>Kalkulator Audit Pemarkahan DASS-21</x:v>
      </x:c>
      <x:c r="AC2" s="18" t="str">
        <x:v>Kalkulator Audit Pemarkahan DASS-21</x:v>
      </x:c>
      <x:c r="AD2" s="18" t="str">
        <x:v>Kalkulator Audit Pemarkahan DASS-21</x:v>
      </x:c>
      <x:c r="AE2" s="18" t="str">
        <x:v>Kalkulator Audit Pemarkahan DASS-21</x:v>
      </x:c>
    </x:row>
    <x:row r="3">
      <x:c r="A3" s="141" t="str">
        <x:v>Masukkan 0–3 pada Q01 hingga Q21. Sel kuning ialah input; skor/kategori dikira dengan formula yang boleh diaudit.</x:v>
      </x:c>
      <x:c r="B3" s="141" t="str">
        <x:v>Masukkan 0–3 pada Q01 hingga Q21. Sel kuning ialah input; skor/kategori dikira dengan formula yang boleh diaudit.</x:v>
      </x:c>
      <x:c r="C3" s="141" t="str">
        <x:v>Masukkan 0–3 pada Q01 hingga Q21. Sel kuning ialah input; skor/kategori dikira dengan formula yang boleh diaudit.</x:v>
      </x:c>
      <x:c r="D3" s="141" t="str">
        <x:v>Masukkan 0–3 pada Q01 hingga Q21. Sel kuning ialah input; skor/kategori dikira dengan formula yang boleh diaudit.</x:v>
      </x:c>
      <x:c r="E3" s="141" t="str">
        <x:v>Masukkan 0–3 pada Q01 hingga Q21. Sel kuning ialah input; skor/kategori dikira dengan formula yang boleh diaudit.</x:v>
      </x:c>
      <x:c r="F3" s="141" t="str">
        <x:v>Masukkan 0–3 pada Q01 hingga Q21. Sel kuning ialah input; skor/kategori dikira dengan formula yang boleh diaudit.</x:v>
      </x:c>
      <x:c r="G3" s="141" t="str">
        <x:v>Masukkan 0–3 pada Q01 hingga Q21. Sel kuning ialah input; skor/kategori dikira dengan formula yang boleh diaudit.</x:v>
      </x:c>
      <x:c r="H3" s="141" t="str">
        <x:v>Masukkan 0–3 pada Q01 hingga Q21. Sel kuning ialah input; skor/kategori dikira dengan formula yang boleh diaudit.</x:v>
      </x:c>
      <x:c r="I3" s="141" t="str">
        <x:v>Masukkan 0–3 pada Q01 hingga Q21. Sel kuning ialah input; skor/kategori dikira dengan formula yang boleh diaudit.</x:v>
      </x:c>
      <x:c r="J3" s="141" t="str">
        <x:v>Masukkan 0–3 pada Q01 hingga Q21. Sel kuning ialah input; skor/kategori dikira dengan formula yang boleh diaudit.</x:v>
      </x:c>
      <x:c r="K3" s="141" t="str">
        <x:v>Masukkan 0–3 pada Q01 hingga Q21. Sel kuning ialah input; skor/kategori dikira dengan formula yang boleh diaudit.</x:v>
      </x:c>
      <x:c r="L3" s="141" t="str">
        <x:v>Masukkan 0–3 pada Q01 hingga Q21. Sel kuning ialah input; skor/kategori dikira dengan formula yang boleh diaudit.</x:v>
      </x:c>
      <x:c r="M3" s="141" t="str">
        <x:v>Masukkan 0–3 pada Q01 hingga Q21. Sel kuning ialah input; skor/kategori dikira dengan formula yang boleh diaudit.</x:v>
      </x:c>
      <x:c r="N3" s="141" t="str">
        <x:v>Masukkan 0–3 pada Q01 hingga Q21. Sel kuning ialah input; skor/kategori dikira dengan formula yang boleh diaudit.</x:v>
      </x:c>
      <x:c r="O3" s="141" t="str">
        <x:v>Masukkan 0–3 pada Q01 hingga Q21. Sel kuning ialah input; skor/kategori dikira dengan formula yang boleh diaudit.</x:v>
      </x:c>
      <x:c r="P3" s="141" t="str">
        <x:v>Masukkan 0–3 pada Q01 hingga Q21. Sel kuning ialah input; skor/kategori dikira dengan formula yang boleh diaudit.</x:v>
      </x:c>
      <x:c r="Q3" s="141" t="str">
        <x:v>Masukkan 0–3 pada Q01 hingga Q21. Sel kuning ialah input; skor/kategori dikira dengan formula yang boleh diaudit.</x:v>
      </x:c>
      <x:c r="R3" s="141" t="str">
        <x:v>Masukkan 0–3 pada Q01 hingga Q21. Sel kuning ialah input; skor/kategori dikira dengan formula yang boleh diaudit.</x:v>
      </x:c>
      <x:c r="S3" s="141" t="str">
        <x:v>Masukkan 0–3 pada Q01 hingga Q21. Sel kuning ialah input; skor/kategori dikira dengan formula yang boleh diaudit.</x:v>
      </x:c>
      <x:c r="T3" s="141" t="str">
        <x:v>Masukkan 0–3 pada Q01 hingga Q21. Sel kuning ialah input; skor/kategori dikira dengan formula yang boleh diaudit.</x:v>
      </x:c>
      <x:c r="U3" s="141" t="str">
        <x:v>Masukkan 0–3 pada Q01 hingga Q21. Sel kuning ialah input; skor/kategori dikira dengan formula yang boleh diaudit.</x:v>
      </x:c>
      <x:c r="V3" s="141" t="str">
        <x:v>Masukkan 0–3 pada Q01 hingga Q21. Sel kuning ialah input; skor/kategori dikira dengan formula yang boleh diaudit.</x:v>
      </x:c>
      <x:c r="W3" s="141" t="str">
        <x:v>Masukkan 0–3 pada Q01 hingga Q21. Sel kuning ialah input; skor/kategori dikira dengan formula yang boleh diaudit.</x:v>
      </x:c>
      <x:c r="X3" s="141" t="str">
        <x:v>Masukkan 0–3 pada Q01 hingga Q21. Sel kuning ialah input; skor/kategori dikira dengan formula yang boleh diaudit.</x:v>
      </x:c>
      <x:c r="Y3" s="141" t="str">
        <x:v>Masukkan 0–3 pada Q01 hingga Q21. Sel kuning ialah input; skor/kategori dikira dengan formula yang boleh diaudit.</x:v>
      </x:c>
      <x:c r="Z3" s="141" t="str">
        <x:v>Masukkan 0–3 pada Q01 hingga Q21. Sel kuning ialah input; skor/kategori dikira dengan formula yang boleh diaudit.</x:v>
      </x:c>
      <x:c r="AA3" s="141" t="str">
        <x:v>Masukkan 0–3 pada Q01 hingga Q21. Sel kuning ialah input; skor/kategori dikira dengan formula yang boleh diaudit.</x:v>
      </x:c>
      <x:c r="AB3" s="141" t="str">
        <x:v>Masukkan 0–3 pada Q01 hingga Q21. Sel kuning ialah input; skor/kategori dikira dengan formula yang boleh diaudit.</x:v>
      </x:c>
      <x:c r="AC3" s="141" t="str">
        <x:v>Masukkan 0–3 pada Q01 hingga Q21. Sel kuning ialah input; skor/kategori dikira dengan formula yang boleh diaudit.</x:v>
      </x:c>
      <x:c r="AD3" s="141" t="str">
        <x:v>Masukkan 0–3 pada Q01 hingga Q21. Sel kuning ialah input; skor/kategori dikira dengan formula yang boleh diaudit.</x:v>
      </x:c>
      <x:c r="AE3" s="141" t="str">
        <x:v>Masukkan 0–3 pada Q01 hingga Q21. Sel kuning ialah input; skor/kategori dikira dengan formula yang boleh diaudit.</x:v>
      </x:c>
    </x:row>
    <x:row r="4">
      <x:c r="A4" s="19"/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</x:row>
    <x:row r="5" ht="38" customHeight="1">
      <x:c r="A5" s="126" t="str">
        <x:v>rekod</x:v>
      </x:c>
      <x:c r="B5" s="127" t="str">
        <x:v>Q01</x:v>
      </x:c>
      <x:c r="C5" s="127" t="str">
        <x:v>Q02</x:v>
      </x:c>
      <x:c r="D5" s="127" t="str">
        <x:v>Q03</x:v>
      </x:c>
      <x:c r="E5" s="127" t="str">
        <x:v>Q04</x:v>
      </x:c>
      <x:c r="F5" s="127" t="str">
        <x:v>Q05</x:v>
      </x:c>
      <x:c r="G5" s="127" t="str">
        <x:v>Q06</x:v>
      </x:c>
      <x:c r="H5" s="127" t="str">
        <x:v>Q07</x:v>
      </x:c>
      <x:c r="I5" s="127" t="str">
        <x:v>Q08</x:v>
      </x:c>
      <x:c r="J5" s="127" t="str">
        <x:v>Q09</x:v>
      </x:c>
      <x:c r="K5" s="127" t="str">
        <x:v>Q10</x:v>
      </x:c>
      <x:c r="L5" s="127" t="str">
        <x:v>Q11</x:v>
      </x:c>
      <x:c r="M5" s="127" t="str">
        <x:v>Q12</x:v>
      </x:c>
      <x:c r="N5" s="127" t="str">
        <x:v>Q13</x:v>
      </x:c>
      <x:c r="O5" s="127" t="str">
        <x:v>Q14</x:v>
      </x:c>
      <x:c r="P5" s="127" t="str">
        <x:v>Q15</x:v>
      </x:c>
      <x:c r="Q5" s="127" t="str">
        <x:v>Q16</x:v>
      </x:c>
      <x:c r="R5" s="127" t="str">
        <x:v>Q17</x:v>
      </x:c>
      <x:c r="S5" s="127" t="str">
        <x:v>Q18</x:v>
      </x:c>
      <x:c r="T5" s="127" t="str">
        <x:v>Q19</x:v>
      </x:c>
      <x:c r="U5" s="127" t="str">
        <x:v>Q20</x:v>
      </x:c>
      <x:c r="V5" s="127" t="str">
        <x:v>Q21</x:v>
      </x:c>
      <x:c r="W5" s="127" t="str">
        <x:v>Dep raw</x:v>
      </x:c>
      <x:c r="X5" s="127" t="str">
        <x:v>Anx raw</x:v>
      </x:c>
      <x:c r="Y5" s="127" t="str">
        <x:v>Stress raw</x:v>
      </x:c>
      <x:c r="Z5" s="127" t="str">
        <x:v>Dep score</x:v>
      </x:c>
      <x:c r="AA5" s="127" t="str">
        <x:v>Anx score</x:v>
      </x:c>
      <x:c r="AB5" s="127" t="str">
        <x:v>Stress score</x:v>
      </x:c>
      <x:c r="AC5" s="127" t="str">
        <x:v>Dep level</x:v>
      </x:c>
      <x:c r="AD5" s="127" t="str">
        <x:v>Anx level</x:v>
      </x:c>
      <x:c r="AE5" s="128" t="str">
        <x:v>Stress level</x:v>
      </x:c>
    </x:row>
    <x:row r="6">
      <x:c r="A6" s="19" t="str">
        <x:v>Semakan manual</x:v>
      </x:c>
      <x:c r="B6" s="142" t="n">
        <x:v>0</x:v>
      </x:c>
      <x:c r="C6" s="142" t="n">
        <x:v>0</x:v>
      </x:c>
      <x:c r="D6" s="142" t="n">
        <x:v>0</x:v>
      </x:c>
      <x:c r="E6" s="142" t="n">
        <x:v>0</x:v>
      </x:c>
      <x:c r="F6" s="142" t="n">
        <x:v>0</x:v>
      </x:c>
      <x:c r="G6" s="142" t="n">
        <x:v>0</x:v>
      </x:c>
      <x:c r="H6" s="142" t="n">
        <x:v>0</x:v>
      </x:c>
      <x:c r="I6" s="142" t="n">
        <x:v>0</x:v>
      </x:c>
      <x:c r="J6" s="142" t="n">
        <x:v>0</x:v>
      </x:c>
      <x:c r="K6" s="142" t="n">
        <x:v>0</x:v>
      </x:c>
      <x:c r="L6" s="142" t="n">
        <x:v>0</x:v>
      </x:c>
      <x:c r="M6" s="142" t="n">
        <x:v>0</x:v>
      </x:c>
      <x:c r="N6" s="142" t="n">
        <x:v>0</x:v>
      </x:c>
      <x:c r="O6" s="142" t="n">
        <x:v>0</x:v>
      </x:c>
      <x:c r="P6" s="142" t="n">
        <x:v>0</x:v>
      </x:c>
      <x:c r="Q6" s="142" t="n">
        <x:v>0</x:v>
      </x:c>
      <x:c r="R6" s="142" t="n">
        <x:v>0</x:v>
      </x:c>
      <x:c r="S6" s="142" t="n">
        <x:v>0</x:v>
      </x:c>
      <x:c r="T6" s="142" t="n">
        <x:v>0</x:v>
      </x:c>
      <x:c r="U6" s="142" t="n">
        <x:v>0</x:v>
      </x:c>
      <x:c r="V6" s="142" t="n">
        <x:v>0</x:v>
      </x:c>
      <x:c r="W6" s="143" t="n">
        <x:f>SUM(D6,F6,K6,N6,Q6,R6,V6)</x:f>
        <x:v>0</x:v>
      </x:c>
      <x:c r="X6" s="143" t="n">
        <x:f>SUM(C6,E6,H6,J6,P6,T6,U6)</x:f>
        <x:v>0</x:v>
      </x:c>
      <x:c r="Y6" s="143" t="n">
        <x:f>SUM(B6,G6,I6,L6,M6,O6,S6)</x:f>
        <x:v>0</x:v>
      </x:c>
      <x:c r="Z6" s="143" t="n">
        <x:f>W6*2</x:f>
        <x:v>0</x:v>
      </x:c>
      <x:c r="AA6" s="143" t="n">
        <x:f>X6*2</x:f>
        <x:v>0</x:v>
      </x:c>
      <x:c r="AB6" s="143" t="n">
        <x:f>Y6*2</x:f>
        <x:v>0</x:v>
      </x:c>
      <x:c r="AC6" s="144" t="str">
        <x:f>IF(Z6&lt;='Thresholds'!D5,"Normal",IF(Z6&lt;='Thresholds'!D6,"Ringan",IF(Z6&lt;='Thresholds'!D7,"Sederhana",IF(Z6&lt;='Thresholds'!D8,"Teruk","Sangat Teruk"))))</x:f>
        <x:v>Normal</x:v>
      </x:c>
      <x:c r="AD6" s="144" t="str">
        <x:f>IF(AA6&lt;='Thresholds'!D10,"Normal",IF(AA6&lt;='Thresholds'!D11,"Ringan",IF(AA6&lt;='Thresholds'!D12,"Sederhana",IF(AA6&lt;='Thresholds'!D13,"Teruk","Sangat Teruk"))))</x:f>
        <x:v>Normal</x:v>
      </x:c>
      <x:c r="AE6" s="144" t="str">
        <x:f>IF(AB6&lt;='Thresholds'!D15,"Normal",IF(AB6&lt;='Thresholds'!D16,"Ringan",IF(AB6&lt;='Thresholds'!D17,"Sederhana",IF(AB6&lt;='Thresholds'!D18,"Teruk","Sangat Teruk"))))</x:f>
        <x:v>Normal</x:v>
      </x:c>
    </x:row>
  </x:sheetData>
  <x:mergeCells>
    <x:mergeCell ref="A1:AE2"/>
    <x:mergeCell ref="A3:AE3"/>
  </x:mergeCells>
  <x:conditionalFormatting sqref="AC6:AE6">
    <x:cfRule type="containsText" dxfId="2" priority="1" operator="containsText" text="Sangat Teruk"/>
  </x:conditionalFormatting>
  <x:dataValidations count="1">
    <x:dataValidation type="whole" operator="between" sqref="B6:V6">
      <x:formula1>0</x:formula1>
      <x:formula2>3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  <x:col min="8" max="8" width="18" hidden="0" customWidth="1"/>
  </x:cols>
  <x:sheetData>
    <x:row r="1" ht="34" customHeight="1">
      <x:c r="A1" s="18" t="str">
        <x:v>Ringkasan Pangkalan Data</x:v>
      </x:c>
      <x:c r="B1" s="18" t="str">
        <x:v>Ringkasan Pangkalan Data</x:v>
      </x:c>
      <x:c r="C1" s="18" t="str">
        <x:v>Ringkasan Pangkalan Data</x:v>
      </x:c>
      <x:c r="D1" s="18" t="str">
        <x:v>Ringkasan Pangkalan Data</x:v>
      </x:c>
      <x:c r="E1" s="18" t="str">
        <x:v>Ringkasan Pangkalan Data</x:v>
      </x:c>
      <x:c r="F1" s="18" t="str">
        <x:v>Ringkasan Pangkalan Data</x:v>
      </x:c>
      <x:c r="G1" s="18" t="str">
        <x:v>Ringkasan Pangkalan Data</x:v>
      </x:c>
      <x:c r="H1" s="18" t="str">
        <x:v>Ringkasan Pangkalan Data</x:v>
      </x:c>
    </x:row>
    <x:row r="2" ht="34" customHeight="1">
      <x:c r="A2" s="18" t="str">
        <x:v>Ringkasan Pangkalan Data</x:v>
      </x:c>
      <x:c r="B2" s="18" t="str">
        <x:v>Ringkasan Pangkalan Data</x:v>
      </x:c>
      <x:c r="C2" s="18" t="str">
        <x:v>Ringkasan Pangkalan Data</x:v>
      </x:c>
      <x:c r="D2" s="18" t="str">
        <x:v>Ringkasan Pangkalan Data</x:v>
      </x:c>
      <x:c r="E2" s="18" t="str">
        <x:v>Ringkasan Pangkalan Data</x:v>
      </x:c>
      <x:c r="F2" s="18" t="str">
        <x:v>Ringkasan Pangkalan Data</x:v>
      </x:c>
      <x:c r="G2" s="18" t="str">
        <x:v>Ringkasan Pangkalan Data</x:v>
      </x:c>
      <x:c r="H2" s="18" t="str">
        <x:v>Ringkasan Pangkalan Data</x:v>
      </x:c>
    </x:row>
    <x:row r="3">
      <x:c r="A3" s="145" t="str">
        <x:v>Jumlah submission</x:v>
      </x:c>
      <x:c r="B3" s="145" t="str">
        <x:v>Jumlah submission</x:v>
      </x:c>
      <x:c r="C3" s="146" t="str">
        <x:v>Semakan tinggi / segera</x:v>
      </x:c>
      <x:c r="D3" s="146" t="str">
        <x:v>Semakan tinggi / segera</x:v>
      </x:c>
      <x:c r="E3" s="147" t="str">
        <x:v>Bendera keselamatan</x:v>
      </x:c>
      <x:c r="F3" s="147" t="str">
        <x:v>Bendera keselamatan</x:v>
      </x:c>
      <x:c r="G3" s="144" t="str">
        <x:v>Ada indikator trauma</x:v>
      </x:c>
      <x:c r="H3" s="144" t="str">
        <x:v>Ada indikator trauma</x:v>
      </x:c>
    </x:row>
    <x:row r="4">
      <x:c r="A4" s="148" t="n">
        <x:f>COUNTA('Submissions_Raw'!$A$2:$A$5001)</x:f>
        <x:v>0</x:v>
      </x:c>
      <x:c r="B4" s="149"/>
      <x:c r="C4" s="150" t="n">
        <x:f>COUNTIF('Submissions_Raw'!$AQ$2:$AQ$5001,"Tinggi")+COUNTIF('Submissions_Raw'!$AQ$2:$AQ$5001,"Segera")</x:f>
        <x:v>0</x:v>
      </x:c>
      <x:c r="D4" s="151"/>
      <x:c r="E4" s="152" t="n">
        <x:f>COUNTIF('Submissions_Raw'!$AP$2:$AP$5001,"Ya")</x:f>
        <x:v>0</x:v>
      </x:c>
      <x:c r="F4" s="153"/>
      <x:c r="G4" s="154" t="n">
        <x:f>COUNTIF('Submissions_Raw'!$AN$2:$AN$5001,"&gt;0")</x:f>
        <x:v>0</x:v>
      </x:c>
      <x:c r="H4" s="155"/>
    </x:row>
    <x:row r="5">
      <x:c r="A5" s="156"/>
      <x:c r="B5" s="157"/>
      <x:c r="C5" s="158"/>
      <x:c r="D5" s="159"/>
      <x:c r="E5" s="160"/>
      <x:c r="F5" s="161"/>
      <x:c r="G5" s="162"/>
      <x:c r="H5" s="163"/>
    </x:row>
    <x:row r="6">
      <x:c r="A6" s="19"/>
      <x:c r="B6" s="19"/>
      <x:c r="C6" s="19"/>
      <x:c r="D6" s="19"/>
      <x:c r="E6" s="19"/>
      <x:c r="F6" s="19"/>
      <x:c r="G6" s="19"/>
      <x:c r="H6" s="19"/>
    </x:row>
    <x:row r="7">
      <x:c r="A7" s="19"/>
      <x:c r="B7" s="19"/>
      <x:c r="C7" s="19"/>
      <x:c r="D7" s="19"/>
      <x:c r="E7" s="19"/>
      <x:c r="F7" s="19"/>
      <x:c r="G7" s="19"/>
      <x:c r="H7" s="19"/>
    </x:row>
    <x:row r="8" ht="38" customHeight="1">
      <x:c r="A8" s="126" t="str">
        <x:v>Tahap tertinggi DASS</x:v>
      </x:c>
      <x:c r="B8" s="127" t="str">
        <x:v>Bilangan</x:v>
      </x:c>
      <x:c r="C8" s="128" t="str">
        <x:v>Definisi</x:v>
      </x:c>
      <x:c r="D8" s="19"/>
      <x:c r="E8" s="126" t="str">
        <x:v>Keutamaan semakan</x:v>
      </x:c>
      <x:c r="F8" s="127" t="str">
        <x:v>Bilangan</x:v>
      </x:c>
      <x:c r="G8" s="128" t="str">
        <x:v>Nota</x:v>
      </x:c>
      <x:c r="H8" s="19"/>
    </x:row>
    <x:row r="9" ht="32" customHeight="1">
      <x:c r="A9" s="19" t="str">
        <x:v>Normal</x:v>
      </x:c>
      <x:c r="B9" s="19" t="n">
        <x:f>COUNTIF('Submissions_Raw'!$AL$2:$AL$5001,"Normal")</x:f>
        <x:v>0</x:v>
      </x:c>
      <x:c r="C9" s="164" t="str">
        <x:v>Semua subskala dalam julat normal</x:v>
      </x:c>
      <x:c r="D9" s="19"/>
      <x:c r="E9" s="19" t="str">
        <x:v>Segera</x:v>
      </x:c>
      <x:c r="F9" s="19" t="n">
        <x:f>COUNTIF('Submissions_Raw'!$AQ$2:$AQ$5001,"Segera")</x:f>
        <x:v>0</x:v>
      </x:c>
      <x:c r="G9" s="164" t="str">
        <x:v>Bendera keselamatan; perlukan SOP respons</x:v>
      </x:c>
      <x:c r="H9" s="19"/>
    </x:row>
    <x:row r="10" ht="32" customHeight="1">
      <x:c r="A10" s="19" t="str">
        <x:v>Ringan</x:v>
      </x:c>
      <x:c r="B10" s="19" t="n">
        <x:f>COUNTIF('Submissions_Raw'!$AL$2:$AL$5001,"Ringan")</x:f>
        <x:v>0</x:v>
      </x:c>
      <x:c r="C10" s="164" t="str">
        <x:v>Tahap tertinggi ringan</x:v>
      </x:c>
      <x:c r="D10" s="19"/>
      <x:c r="E10" s="19" t="str">
        <x:v>Tinggi</x:v>
      </x:c>
      <x:c r="F10" s="19" t="n">
        <x:f>COUNTIF('Submissions_Raw'!$AQ$2:$AQ$5001,"Tinggi")</x:f>
        <x:v>0</x:v>
      </x:c>
      <x:c r="G10" s="164" t="str">
        <x:v>Sangat teruk atau indikator Dharuriyyat positif</x:v>
      </x:c>
      <x:c r="H10" s="19"/>
    </x:row>
    <x:row r="11" ht="32" customHeight="1">
      <x:c r="A11" s="19" t="str">
        <x:v>Sederhana</x:v>
      </x:c>
      <x:c r="B11" s="19" t="n">
        <x:f>COUNTIF('Submissions_Raw'!$AL$2:$AL$5001,"Sederhana")</x:f>
        <x:v>0</x:v>
      </x:c>
      <x:c r="C11" s="164" t="str">
        <x:v>Tahap tertinggi sederhana</x:v>
      </x:c>
      <x:c r="D11" s="19"/>
      <x:c r="E11" s="19" t="str">
        <x:v>Sederhana</x:v>
      </x:c>
      <x:c r="F11" s="19" t="n">
        <x:f>COUNTIF('Submissions_Raw'!$AQ$2:$AQ$5001,"Sederhana")</x:f>
        <x:v>0</x:v>
      </x:c>
      <x:c r="G11" s="164" t="str">
        <x:v>Teruk atau indikator trauma positif</x:v>
      </x:c>
      <x:c r="H11" s="19"/>
    </x:row>
    <x:row r="12" ht="32" customHeight="1">
      <x:c r="A12" s="19" t="str">
        <x:v>Teruk</x:v>
      </x:c>
      <x:c r="B12" s="19" t="n">
        <x:f>COUNTIF('Submissions_Raw'!$AL$2:$AL$5001,"Teruk")</x:f>
        <x:v>0</x:v>
      </x:c>
      <x:c r="C12" s="164" t="str">
        <x:v>Sekurang-kurangnya satu subskala teruk</x:v>
      </x:c>
      <x:c r="D12" s="19"/>
      <x:c r="E12" s="19" t="str">
        <x:v>Rutin</x:v>
      </x:c>
      <x:c r="F12" s="19" t="n">
        <x:f>COUNTIF('Submissions_Raw'!$AQ$2:$AQ$5001,"Rutin")</x:f>
        <x:v>0</x:v>
      </x:c>
      <x:c r="G12" s="164" t="str">
        <x:v>Tiada peraturan tahap lebih tinggi dipenuhi</x:v>
      </x:c>
      <x:c r="H12" s="19"/>
    </x:row>
    <x:row r="13" ht="32" customHeight="1">
      <x:c r="A13" s="19" t="str">
        <x:v>Sangat Teruk</x:v>
      </x:c>
      <x:c r="B13" s="19" t="n">
        <x:f>COUNTIF('Submissions_Raw'!$AL$2:$AL$5001,"Sangat Teruk")</x:f>
        <x:v>0</x:v>
      </x:c>
      <x:c r="C13" s="164" t="str">
        <x:v>Sekurang-kurangnya satu subskala pada tahap ini</x:v>
      </x:c>
      <x:c r="D13" s="19"/>
      <x:c r="E13" s="19"/>
      <x:c r="F13" s="19"/>
      <x:c r="G13" s="19"/>
      <x:c r="H13" s="19"/>
    </x:row>
    <x:row r="14">
      <x:c r="A14" s="19"/>
      <x:c r="B14" s="19"/>
      <x:c r="C14" s="19"/>
      <x:c r="D14" s="19"/>
      <x:c r="E14" s="19"/>
      <x:c r="F14" s="19"/>
      <x:c r="G14" s="19"/>
      <x:c r="H14" s="19"/>
    </x:row>
    <x:row r="15">
      <x:c r="A15" s="165" t="str">
        <x:v>Nota: Ringkasan ini menggunakan formula sehingga baris 5001. Kategori dan keutamaan ialah output saringan/prototaip, bukan diagnosis klinikal. Dashboard Streamlit menyediakan penapis yang lebih lengkap.</x:v>
      </x:c>
      <x:c r="B15" s="165" t="str">
        <x:v>Nota: Ringkasan ini menggunakan formula sehingga baris 5001. Kategori dan keutamaan ialah output saringan/prototaip, bukan diagnosis klinikal. Dashboard Streamlit menyediakan penapis yang lebih lengkap.</x:v>
      </x:c>
      <x:c r="C15" s="165" t="str">
        <x:v>Nota: Ringkasan ini menggunakan formula sehingga baris 5001. Kategori dan keutamaan ialah output saringan/prototaip, bukan diagnosis klinikal. Dashboard Streamlit menyediakan penapis yang lebih lengkap.</x:v>
      </x:c>
      <x:c r="D15" s="165" t="str">
        <x:v>Nota: Ringkasan ini menggunakan formula sehingga baris 5001. Kategori dan keutamaan ialah output saringan/prototaip, bukan diagnosis klinikal. Dashboard Streamlit menyediakan penapis yang lebih lengkap.</x:v>
      </x:c>
      <x:c r="E15" s="165" t="str">
        <x:v>Nota: Ringkasan ini menggunakan formula sehingga baris 5001. Kategori dan keutamaan ialah output saringan/prototaip, bukan diagnosis klinikal. Dashboard Streamlit menyediakan penapis yang lebih lengkap.</x:v>
      </x:c>
      <x:c r="F15" s="165" t="str">
        <x:v>Nota: Ringkasan ini menggunakan formula sehingga baris 5001. Kategori dan keutamaan ialah output saringan/prototaip, bukan diagnosis klinikal. Dashboard Streamlit menyediakan penapis yang lebih lengkap.</x:v>
      </x:c>
      <x:c r="G15" s="165" t="str">
        <x:v>Nota: Ringkasan ini menggunakan formula sehingga baris 5001. Kategori dan keutamaan ialah output saringan/prototaip, bukan diagnosis klinikal. Dashboard Streamlit menyediakan penapis yang lebih lengkap.</x:v>
      </x:c>
      <x:c r="H15" s="165" t="str">
        <x:v>Nota: Ringkasan ini menggunakan formula sehingga baris 5001. Kategori dan keutamaan ialah output saringan/prototaip, bukan diagnosis klinikal. Dashboard Streamlit menyediakan penapis yang lebih lengkap.</x:v>
      </x:c>
    </x:row>
    <x:row r="16">
      <x:c r="A16" s="165" t="str">
        <x:v>Nota: Ringkasan ini menggunakan formula sehingga baris 5001. Kategori dan keutamaan ialah output saringan/prototaip, bukan diagnosis klinikal. Dashboard Streamlit menyediakan penapis yang lebih lengkap.</x:v>
      </x:c>
      <x:c r="B16" s="165" t="str">
        <x:v>Nota: Ringkasan ini menggunakan formula sehingga baris 5001. Kategori dan keutamaan ialah output saringan/prototaip, bukan diagnosis klinikal. Dashboard Streamlit menyediakan penapis yang lebih lengkap.</x:v>
      </x:c>
      <x:c r="C16" s="165" t="str">
        <x:v>Nota: Ringkasan ini menggunakan formula sehingga baris 5001. Kategori dan keutamaan ialah output saringan/prototaip, bukan diagnosis klinikal. Dashboard Streamlit menyediakan penapis yang lebih lengkap.</x:v>
      </x:c>
      <x:c r="D16" s="165" t="str">
        <x:v>Nota: Ringkasan ini menggunakan formula sehingga baris 5001. Kategori dan keutamaan ialah output saringan/prototaip, bukan diagnosis klinikal. Dashboard Streamlit menyediakan penapis yang lebih lengkap.</x:v>
      </x:c>
      <x:c r="E16" s="165" t="str">
        <x:v>Nota: Ringkasan ini menggunakan formula sehingga baris 5001. Kategori dan keutamaan ialah output saringan/prototaip, bukan diagnosis klinikal. Dashboard Streamlit menyediakan penapis yang lebih lengkap.</x:v>
      </x:c>
      <x:c r="F16" s="165" t="str">
        <x:v>Nota: Ringkasan ini menggunakan formula sehingga baris 5001. Kategori dan keutamaan ialah output saringan/prototaip, bukan diagnosis klinikal. Dashboard Streamlit menyediakan penapis yang lebih lengkap.</x:v>
      </x:c>
      <x:c r="G16" s="165" t="str">
        <x:v>Nota: Ringkasan ini menggunakan formula sehingga baris 5001. Kategori dan keutamaan ialah output saringan/prototaip, bukan diagnosis klinikal. Dashboard Streamlit menyediakan penapis yang lebih lengkap.</x:v>
      </x:c>
      <x:c r="H16" s="165" t="str">
        <x:v>Nota: Ringkasan ini menggunakan formula sehingga baris 5001. Kategori dan keutamaan ialah output saringan/prototaip, bukan diagnosis klinikal. Dashboard Streamlit menyediakan penapis yang lebih lengkap.</x:v>
      </x:c>
    </x:row>
  </x:sheetData>
  <x:mergeCells>
    <x:mergeCell ref="A1:H2"/>
    <x:mergeCell ref="A3:B3"/>
    <x:mergeCell ref="A4:B5"/>
    <x:mergeCell ref="C3:D3"/>
    <x:mergeCell ref="C4:D5"/>
    <x:mergeCell ref="E3:F3"/>
    <x:mergeCell ref="E4:F5"/>
    <x:mergeCell ref="G3:H3"/>
    <x:mergeCell ref="G4:H5"/>
    <x:mergeCell ref="A15:H1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58" hidden="0" customWidth="1"/>
  </x:cols>
  <x:sheetData>
    <x:row r="1" ht="38" customHeight="1">
      <x:c r="A1" s="126" t="str">
        <x:v>timestamp</x:v>
      </x:c>
      <x:c r="B1" s="127" t="str">
        <x:v>event</x:v>
      </x:c>
      <x:c r="C1" s="127" t="str">
        <x:v>submission_id</x:v>
      </x:c>
      <x:c r="D1" s="127" t="str">
        <x:v>student_id_hash</x:v>
      </x:c>
      <x:c r="E1" s="128" t="str">
        <x:v>details</x:v>
      </x:c>
    </x:row>
  </x:sheetData>
  <x:pageMargins left="0.7" right="0.7" top="0.75" bottom="0.75" header="0.3" footer="0.3"/>
</x:worksheet>
</file>